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6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d45f8adbb642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o" sheetId="1" r:id="Ra38f90222c6f4f87"/>
    <x:sheet xmlns:r="http://schemas.openxmlformats.org/officeDocument/2006/relationships" name="Calculos" sheetId="2" r:id="R516c1723d427435a"/>
    <x:sheet xmlns:r="http://schemas.openxmlformats.org/officeDocument/2006/relationships" name="Panel" sheetId="3" r:id="R84bf2af8ba454a81"/>
    <x:sheet xmlns:r="http://schemas.openxmlformats.org/officeDocument/2006/relationships" name="Guia" sheetId="4" r:id="Rf7ed54af1b824265"/>
    <x:sheet xmlns:r="http://schemas.openxmlformats.org/officeDocument/2006/relationships" name="BH Acumulado" sheetId="5" r:id="R3db7703eb0a0433b"/>
    <x:sheet xmlns:r="http://schemas.openxmlformats.org/officeDocument/2006/relationships" name="Bibliografia" sheetId="6" r:id="Rd8149ce0d5fe48a8"/>
  </x:sheets>
</x:workbook>
</file>

<file path=xl/comments1.xml><?xml version="1.0" encoding="utf-8"?>
<x:comments xmlns:x="http://schemas.openxmlformats.org/spreadsheetml/2006/main">
  <x:authors>
    <x:author>tc={A4AD2E24-73D8-A971-D052-8BE95B41A18D}</x:author>
  </x:authors>
  <x:commentList>
    <x:comment ref="G10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Ingrese el volumen numérico en mililitros. No escriba la unidad dentro de la celda.</x:t>
        </x:r>
      </x:text>
    </x:comment>
  </x:commentList>
</x:comments>
</file>

<file path=xl/comments2.xml><?xml version="1.0" encoding="utf-8"?>
<x:comments xmlns:x="http://schemas.openxmlformats.org/spreadsheetml/2006/main">
  <x:authors>
    <x:author>tc={61FA2C08-A585-866B-BE5F-5F63A6A73256}</x:author>
  </x:authors>
  <x:commentList>
    <x:comment ref="B10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Indicador informativo: diuresis total ÷ peso ÷ horas registradas. Interpretar según edad, contexto y protocolo institucional.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0.0"/>
    <x:numFmt numFmtId="201" formatCode="@"/>
    <x:numFmt numFmtId="202" formatCode="yyyy-mm-dd"/>
    <x:numFmt numFmtId="203" formatCode="hh:mm"/>
    <x:numFmt numFmtId="204" formatCode="#,##0&quot; mL&quot;"/>
    <x:numFmt numFmtId="205" formatCode="0.00&quot; mL/kg/h&quot;"/>
    <x:numFmt numFmtId="206" formatCode="#,##0"/>
    <x:numFmt numFmtId="207" formatCode="0.00"/>
  </x:numFmts>
  <x:fonts count="1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13B"/>
      <x:name val="Carlito"/>
    </x:font>
    <x:font>
      <x:b/>
      <x:sz val="11"/>
      <x:color rgb="FFFFFFFF"/>
      <x:name val="Carlito"/>
    </x:font>
    <x:font>
      <x:b/>
      <x:sz val="10"/>
      <x:color rgb="FF17313B"/>
      <x:name val="Aptos"/>
    </x:font>
    <x:font>
      <x:b/>
      <x:sz val="16"/>
      <x:color rgb="FFFFFFFF"/>
      <x:name val="Aptos Display"/>
    </x:font>
    <x:font>
      <x:i/>
      <x:sz val="9"/>
      <x:color rgb="FF17313B"/>
      <x:name val="Carlito"/>
    </x:font>
    <x:font>
      <x:b/>
      <x:sz val="18"/>
      <x:color rgb="FFFFFFFF"/>
      <x:name val="Carlito"/>
    </x:font>
    <x:font>
      <x:b/>
      <x:sz val="22"/>
      <x:color rgb="FF123B4A"/>
      <x:name val="Carlito"/>
    </x:font>
    <x:font>
      <x:sz val="11"/>
      <x:color rgb="FF17313B"/>
      <x:name val="Carlito"/>
    </x:font>
    <x:font>
      <x:b/>
      <x:sz val="18"/>
      <x:color rgb="FFFFFFFF"/>
      <x:name val="Aptos Display"/>
    </x:font>
    <x:font>
      <x:b/>
      <x:sz val="11"/>
      <x:color rgb="FF8A4B18"/>
      <x:name val="Carlito"/>
    </x:font>
    <x:font>
      <x:i/>
      <x:sz val="11"/>
      <x:color rgb="FF17313B"/>
      <x:name val="Carlito"/>
    </x:font>
    <x:font>
      <x:sz val="10"/>
      <x:color rgb="FF17313B"/>
      <x:name val="Carlito"/>
    </x:font>
    <x:font>
      <x:b/>
      <x:sz val="10"/>
      <x:color rgb="FF17313B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23B4A"/>
      </x:patternFill>
    </x:fill>
    <x:fill>
      <x:patternFill patternType="solid">
        <x:fgColor rgb="FFFFF4CC"/>
      </x:patternFill>
    </x:fill>
    <x:fill>
      <x:patternFill patternType="solid">
        <x:fgColor rgb="FF0F766E"/>
      </x:patternFill>
    </x:fill>
    <x:fill>
      <x:patternFill patternType="solid">
        <x:fgColor rgb="FFE9F7F7"/>
      </x:patternFill>
    </x:fill>
    <x:fill>
      <x:patternFill patternType="solid">
        <x:fgColor rgb="FFE8EEF0"/>
      </x:patternFill>
    </x:fill>
    <x:fill>
      <x:patternFill patternType="solid">
        <x:fgColor rgb="FFDDF3EE"/>
      </x:patternFill>
    </x:fill>
    <x:fill>
      <x:patternFill patternType="solid">
        <x:fgColor rgb="FFF6F9FA"/>
      </x:patternFill>
    </x:fill>
    <x:fill>
      <x:patternFill patternType="solid">
        <x:fgColor rgb="FFFFF1E6"/>
      </x:patternFill>
    </x:fill>
  </x:fills>
  <x:borders count="22">
    <x:border/>
    <x:border>
      <x:left style="thin">
        <x:color rgb="FFE5D38A"/>
      </x:left>
      <x:right style="thin">
        <x:color rgb="FFE5D38A"/>
      </x:right>
      <x:top style="thin">
        <x:color rgb="FFE5D38A"/>
      </x:top>
      <x:bottom style="thin">
        <x:color rgb="FFE5D38A"/>
      </x:bottom>
    </x:border>
    <x:border>
      <x:left style="thin">
        <x:color rgb="FFE5D38A"/>
      </x:left>
      <x:top style="thin">
        <x:color rgb="FFE5D38A"/>
      </x:top>
      <x:bottom style="thin">
        <x:color rgb="FFE5D38A"/>
      </x:bottom>
    </x:border>
    <x:border>
      <x:top style="thin">
        <x:color rgb="FFE5D38A"/>
      </x:top>
      <x:bottom style="thin">
        <x:color rgb="FFE5D38A"/>
      </x:bottom>
    </x:border>
    <x:border>
      <x:right style="thin">
        <x:color rgb="FFE5D38A"/>
      </x:right>
      <x:top style="thin">
        <x:color rgb="FFE5D38A"/>
      </x:top>
      <x:bottom style="thin">
        <x:color rgb="FFE5D38A"/>
      </x:bottom>
    </x:border>
    <x:border>
      <x:right style="thin">
        <x:color rgb="FFD9E4E7"/>
      </x:right>
      <x:bottom style="thin">
        <x:color rgb="FFD9E4E7"/>
      </x:bottom>
    </x:border>
    <x:border>
      <x:left style="thin">
        <x:color rgb="FFD9E4E7"/>
      </x:left>
      <x:right style="thin">
        <x:color rgb="FFD9E4E7"/>
      </x:right>
      <x:bottom style="thin">
        <x:color rgb="FFD9E4E7"/>
      </x:bottom>
    </x:border>
    <x:border>
      <x:left style="thin">
        <x:color rgb="FFD9E4E7"/>
      </x:left>
      <x:bottom style="thin">
        <x:color rgb="FFD9E4E7"/>
      </x:bottom>
    </x:border>
    <x:border>
      <x:right style="thin">
        <x:color rgb="FFD9E4E7"/>
      </x:right>
      <x:top style="thin">
        <x:color rgb="FFD9E4E7"/>
      </x:top>
      <x:bottom style="thin">
        <x:color rgb="FFD9E4E7"/>
      </x:bottom>
    </x:border>
    <x:border>
      <x:left style="thin">
        <x:color rgb="FFD9E4E7"/>
      </x:left>
      <x:right style="thin">
        <x:color rgb="FFD9E4E7"/>
      </x:right>
      <x:top style="thin">
        <x:color rgb="FFD9E4E7"/>
      </x:top>
      <x:bottom style="thin">
        <x:color rgb="FFD9E4E7"/>
      </x:bottom>
    </x:border>
    <x:border>
      <x:left style="thin">
        <x:color rgb="FFD9E4E7"/>
      </x:left>
      <x:top style="thin">
        <x:color rgb="FFD9E4E7"/>
      </x:top>
      <x:bottom style="thin">
        <x:color rgb="FFD9E4E7"/>
      </x:bottom>
    </x:border>
    <x:border>
      <x:right style="thin">
        <x:color rgb="FFD9E4E7"/>
      </x:right>
      <x:top style="thin">
        <x:color rgb="FFD9E4E7"/>
      </x:top>
    </x:border>
    <x:border>
      <x:left style="thin">
        <x:color rgb="FFD9E4E7"/>
      </x:left>
      <x:right style="thin">
        <x:color rgb="FFD9E4E7"/>
      </x:right>
      <x:top style="thin">
        <x:color rgb="FFD9E4E7"/>
      </x:top>
    </x:border>
    <x:border>
      <x:left style="thin">
        <x:color rgb="FFD9E4E7"/>
      </x:left>
      <x:top style="thin">
        <x:color rgb="FFD9E4E7"/>
      </x:top>
    </x:border>
    <x:border>
      <x:left style="thin">
        <x:color rgb="FFA9D8CE"/>
      </x:left>
      <x:top style="thin">
        <x:color rgb="FFA9D8CE"/>
      </x:top>
    </x:border>
    <x:border>
      <x:top style="thin">
        <x:color rgb="FFA9D8CE"/>
      </x:top>
    </x:border>
    <x:border>
      <x:right style="thin">
        <x:color rgb="FFA9D8CE"/>
      </x:right>
      <x:top style="thin">
        <x:color rgb="FFA9D8CE"/>
      </x:top>
    </x:border>
    <x:border>
      <x:left style="thin">
        <x:color rgb="FFA9D8CE"/>
      </x:left>
    </x:border>
    <x:border>
      <x:right style="thin">
        <x:color rgb="FFA9D8CE"/>
      </x:right>
    </x:border>
    <x:border>
      <x:left style="thin">
        <x:color rgb="FFA9D8CE"/>
      </x:left>
      <x:bottom style="thin">
        <x:color rgb="FFA9D8CE"/>
      </x:bottom>
    </x:border>
    <x:border>
      <x:bottom style="thin">
        <x:color rgb="FFA9D8CE"/>
      </x:bottom>
    </x:border>
    <x:border>
      <x:right style="thin">
        <x:color rgb="FFA9D8CE"/>
      </x:right>
      <x:bottom style="thin">
        <x:color rgb="FFA9D8CE"/>
      </x:bottom>
    </x:border>
  </x:borders>
  <x:cellStyleXfs count="1">
    <x:xf numFmtId="0" fontId="0" fillId="0" borderId="0"/>
  </x:cellStyleXfs>
  <x:cellXfs count="16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3" borderId="2" xfId="0" applyNumberFormat="1" applyFont="1" applyFill="1" applyBorder="1"/>
    <x:xf numFmtId="0" fontId="0" fillId="3" borderId="3" xfId="0" applyNumberFormat="1" applyFont="1" applyFill="1" applyBorder="1"/>
    <x:xf numFmtId="0" fontId="0" fillId="3" borderId="4" xfId="0" applyNumberFormat="1" applyFont="1" applyFill="1" applyBorder="1"/>
    <x:xf numFmtId="200" fontId="0" fillId="3" borderId="1" xfId="0" applyNumberFormat="1" applyFont="1" applyFill="1" applyBorder="1"/>
    <x:xf numFmtId="201" fontId="0" fillId="3" borderId="1" xfId="0" applyNumberFormat="1" applyFont="1" applyFill="1" applyBorder="1"/>
    <x:xf numFmtId="202" fontId="0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0" fillId="3" borderId="5" xfId="0" applyNumberFormat="1" applyFont="1" applyFill="1" applyBorder="1"/>
    <x:xf numFmtId="0" fontId="0" fillId="3" borderId="6" xfId="0" applyNumberFormat="1" applyFont="1" applyFill="1" applyBorder="1"/>
    <x:xf numFmtId="0" fontId="0" fillId="5" borderId="6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0" fillId="5" borderId="9" xfId="0" applyNumberFormat="1" applyFont="1" applyFill="1" applyBorder="1"/>
    <x:xf numFmtId="0" fontId="0" fillId="3" borderId="10" xfId="0" applyNumberFormat="1" applyFont="1" applyFill="1" applyBorder="1"/>
    <x:xf numFmtId="0" fontId="0" fillId="3" borderId="11" xfId="0" applyNumberFormat="1" applyFont="1" applyFill="1" applyBorder="1"/>
    <x:xf numFmtId="0" fontId="0" fillId="3" borderId="12" xfId="0" applyNumberFormat="1" applyFont="1" applyFill="1" applyBorder="1"/>
    <x:xf numFmtId="0" fontId="0" fillId="5" borderId="12" xfId="0" applyNumberFormat="1" applyFont="1" applyFill="1" applyBorder="1"/>
    <x:xf numFmtId="0" fontId="0" fillId="3" borderId="13" xfId="0" applyNumberFormat="1" applyFont="1" applyFill="1" applyBorder="1"/>
    <x:xf numFmtId="202" fontId="0" fillId="3" borderId="5" xfId="0" applyNumberFormat="1" applyFont="1" applyFill="1" applyBorder="1"/>
    <x:xf numFmtId="202" fontId="0" fillId="3" borderId="8" xfId="0" applyNumberFormat="1" applyFont="1" applyFill="1" applyBorder="1"/>
    <x:xf numFmtId="202" fontId="0" fillId="3" borderId="11" xfId="0" applyNumberFormat="1" applyFont="1" applyFill="1" applyBorder="1"/>
    <x:xf numFmtId="203" fontId="0" fillId="3" borderId="6" xfId="0" applyNumberFormat="1" applyFont="1" applyFill="1" applyBorder="1"/>
    <x:xf numFmtId="203" fontId="0" fillId="3" borderId="9" xfId="0" applyNumberFormat="1" applyFont="1" applyFill="1" applyBorder="1"/>
    <x:xf numFmtId="203" fontId="0" fillId="3" borderId="12" xfId="0" applyNumberFormat="1" applyFont="1" applyFill="1" applyBorder="1"/>
    <x:xf numFmtId="204" fontId="0" fillId="3" borderId="6" xfId="0" applyNumberFormat="1" applyFont="1" applyFill="1" applyBorder="1"/>
    <x:xf numFmtId="204" fontId="0" fillId="5" borderId="6" xfId="0" applyNumberFormat="1" applyFont="1" applyFill="1" applyBorder="1"/>
    <x:xf numFmtId="204" fontId="0" fillId="3" borderId="9" xfId="0" applyNumberFormat="1" applyFont="1" applyFill="1" applyBorder="1"/>
    <x:xf numFmtId="204" fontId="0" fillId="5" borderId="9" xfId="0" applyNumberFormat="1" applyFont="1" applyFill="1" applyBorder="1"/>
    <x:xf numFmtId="204" fontId="0" fillId="3" borderId="12" xfId="0" applyNumberFormat="1" applyFont="1" applyFill="1" applyBorder="1"/>
    <x:xf numFmtId="204" fontId="0" fillId="5" borderId="12" xfId="0" applyNumberFormat="1" applyFont="1" applyFill="1" applyBorder="1"/>
    <x:xf numFmtId="0" fontId="4" fillId="2" borderId="0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horizontal="right"/>
    </x:xf>
    <x:xf numFmtId="204" fontId="2" fillId="5" borderId="0" xfId="0" applyNumberFormat="1" applyFont="1" applyFill="1" applyBorder="1" applyAlignment="1">
      <x:alignment horizontal="right"/>
    </x:xf>
    <x:xf numFmtId="200" fontId="2" fillId="5" borderId="0" xfId="0" applyNumberFormat="1" applyFont="1" applyFill="1" applyBorder="1" applyAlignment="1">
      <x:alignment horizontal="right"/>
    </x:xf>
    <x:xf numFmtId="205" fontId="2" fillId="5" borderId="0" xfId="0" applyNumberFormat="1" applyFont="1" applyFill="1" applyBorder="1" applyAlignment="1">
      <x:alignment horizontal="right"/>
    </x:xf>
    <x:xf numFmtId="0" fontId="3" fillId="4" borderId="0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206" fontId="0" fillId="0" borderId="6" xfId="0" applyNumberFormat="1" applyFont="1" applyFill="1" applyBorder="1"/>
    <x:xf numFmtId="206" fontId="0" fillId="0" borderId="7" xfId="0" applyNumberFormat="1" applyFont="1" applyFill="1" applyBorder="1"/>
    <x:xf numFmtId="206" fontId="0" fillId="0" borderId="9" xfId="0" applyNumberFormat="1" applyFont="1" applyFill="1" applyBorder="1"/>
    <x:xf numFmtId="206" fontId="0" fillId="0" borderId="10" xfId="0" applyNumberFormat="1" applyFont="1" applyFill="1" applyBorder="1"/>
    <x:xf numFmtId="206" fontId="0" fillId="0" borderId="12" xfId="0" applyNumberFormat="1" applyFont="1" applyFill="1" applyBorder="1"/>
    <x:xf numFmtId="206" fontId="0" fillId="0" borderId="13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0" fillId="7" borderId="14" xfId="0" applyNumberFormat="1" applyFont="1" applyFill="1" applyBorder="1"/>
    <x:xf numFmtId="0" fontId="0" fillId="7" borderId="15" xfId="0" applyNumberFormat="1" applyFont="1" applyFill="1" applyBorder="1"/>
    <x:xf numFmtId="0" fontId="0" fillId="7" borderId="16" xfId="0" applyNumberFormat="1" applyFont="1" applyFill="1" applyBorder="1"/>
    <x:xf numFmtId="0" fontId="0" fillId="7" borderId="17" xfId="0" applyNumberFormat="1" applyFont="1" applyFill="1" applyBorder="1"/>
    <x:xf numFmtId="0" fontId="0" fillId="7" borderId="18" xfId="0" applyNumberFormat="1" applyFont="1" applyFill="1" applyBorder="1"/>
    <x:xf numFmtId="0" fontId="0" fillId="7" borderId="19" xfId="0" applyNumberFormat="1" applyFont="1" applyFill="1" applyBorder="1"/>
    <x:xf numFmtId="0" fontId="0" fillId="7" borderId="20" xfId="0" applyNumberFormat="1" applyFont="1" applyFill="1" applyBorder="1"/>
    <x:xf numFmtId="0" fontId="0" fillId="7" borderId="21" xfId="0" applyNumberFormat="1" applyFont="1" applyFill="1" applyBorder="1"/>
    <x:xf numFmtId="0" fontId="0" fillId="7" borderId="14" xfId="0" applyNumberFormat="1" applyFont="1" applyFill="1" applyBorder="1" applyAlignment="1">
      <x:alignment horizontal="center"/>
    </x:xf>
    <x:xf numFmtId="0" fontId="0" fillId="7" borderId="15" xfId="0" applyNumberFormat="1" applyFont="1" applyFill="1" applyBorder="1" applyAlignment="1">
      <x:alignment horizontal="center"/>
    </x:xf>
    <x:xf numFmtId="0" fontId="0" fillId="7" borderId="16" xfId="0" applyNumberFormat="1" applyFont="1" applyFill="1" applyBorder="1" applyAlignment="1">
      <x:alignment horizontal="center"/>
    </x:xf>
    <x:xf numFmtId="0" fontId="0" fillId="7" borderId="17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 applyAlignment="1">
      <x:alignment horizontal="center"/>
    </x:xf>
    <x:xf numFmtId="0" fontId="0" fillId="7" borderId="18" xfId="0" applyNumberFormat="1" applyFont="1" applyFill="1" applyBorder="1" applyAlignment="1">
      <x:alignment horizontal="center"/>
    </x:xf>
    <x:xf numFmtId="0" fontId="0" fillId="7" borderId="19" xfId="0" applyNumberFormat="1" applyFont="1" applyFill="1" applyBorder="1" applyAlignment="1">
      <x:alignment horizontal="center"/>
    </x:xf>
    <x:xf numFmtId="0" fontId="0" fillId="7" borderId="20" xfId="0" applyNumberFormat="1" applyFont="1" applyFill="1" applyBorder="1" applyAlignment="1">
      <x:alignment horizontal="center"/>
    </x:xf>
    <x:xf numFmtId="0" fontId="0" fillId="7" borderId="21" xfId="0" applyNumberFormat="1" applyFont="1" applyFill="1" applyBorder="1" applyAlignment="1">
      <x:alignment horizontal="center"/>
    </x:xf>
    <x:xf numFmtId="0" fontId="0" fillId="7" borderId="14" xfId="0" applyNumberFormat="1" applyFont="1" applyFill="1" applyBorder="1" applyAlignment="1">
      <x:alignment horizontal="center" vertical="center"/>
    </x:xf>
    <x:xf numFmtId="0" fontId="0" fillId="7" borderId="15" xfId="0" applyNumberFormat="1" applyFont="1" applyFill="1" applyBorder="1" applyAlignment="1">
      <x:alignment horizontal="center" vertical="center"/>
    </x:xf>
    <x:xf numFmtId="0" fontId="0" fillId="7" borderId="16" xfId="0" applyNumberFormat="1" applyFont="1" applyFill="1" applyBorder="1" applyAlignment="1">
      <x:alignment horizontal="center" vertical="center"/>
    </x:xf>
    <x:xf numFmtId="0" fontId="0" fillId="7" borderId="17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 applyAlignment="1">
      <x:alignment horizontal="center" vertical="center"/>
    </x:xf>
    <x:xf numFmtId="0" fontId="0" fillId="7" borderId="18" xfId="0" applyNumberFormat="1" applyFont="1" applyFill="1" applyBorder="1" applyAlignment="1">
      <x:alignment horizontal="center" vertical="center"/>
    </x:xf>
    <x:xf numFmtId="0" fontId="0" fillId="7" borderId="19" xfId="0" applyNumberFormat="1" applyFont="1" applyFill="1" applyBorder="1" applyAlignment="1">
      <x:alignment horizontal="center" vertical="center"/>
    </x:xf>
    <x:xf numFmtId="0" fontId="0" fillId="7" borderId="20" xfId="0" applyNumberFormat="1" applyFont="1" applyFill="1" applyBorder="1" applyAlignment="1">
      <x:alignment horizontal="center" vertical="center"/>
    </x:xf>
    <x:xf numFmtId="0" fontId="0" fillId="7" borderId="21" xfId="0" applyNumberFormat="1" applyFont="1" applyFill="1" applyBorder="1" applyAlignment="1">
      <x:alignment horizontal="center" vertical="center"/>
    </x:xf>
    <x:xf numFmtId="0" fontId="8" fillId="7" borderId="17" xfId="0" applyNumberFormat="1" applyFont="1" applyFill="1" applyBorder="1" applyAlignment="1">
      <x:alignment horizontal="center" vertical="center"/>
    </x:xf>
    <x:xf numFmtId="0" fontId="8" fillId="7" borderId="0" xfId="0" applyNumberFormat="1" applyFont="1" applyFill="1" applyBorder="1" applyAlignment="1">
      <x:alignment horizontal="center" vertical="center"/>
    </x:xf>
    <x:xf numFmtId="0" fontId="8" fillId="7" borderId="18" xfId="0" applyNumberFormat="1" applyFont="1" applyFill="1" applyBorder="1" applyAlignment="1">
      <x:alignment horizontal="center" vertical="center"/>
    </x:xf>
    <x:xf numFmtId="204" fontId="8" fillId="7" borderId="17" xfId="0" applyNumberFormat="1" applyFont="1" applyFill="1" applyBorder="1" applyAlignment="1">
      <x:alignment horizontal="center" vertical="center"/>
    </x:xf>
    <x:xf numFmtId="204" fontId="8" fillId="7" borderId="0" xfId="0" applyNumberFormat="1" applyFont="1" applyFill="1" applyBorder="1" applyAlignment="1">
      <x:alignment horizontal="center" vertical="center"/>
    </x:xf>
    <x:xf numFmtId="204" fontId="8" fillId="7" borderId="18" xfId="0" applyNumberFormat="1" applyFont="1" applyFill="1" applyBorder="1" applyAlignment="1">
      <x:alignment horizontal="center" vertical="center"/>
    </x:xf>
    <x:xf numFmtId="207" fontId="8" fillId="7" borderId="17" xfId="0" applyNumberFormat="1" applyFont="1" applyFill="1" applyBorder="1" applyAlignment="1">
      <x:alignment horizontal="center" vertical="center"/>
    </x:xf>
    <x:xf numFmtId="207" fontId="8" fillId="7" borderId="0" xfId="0" applyNumberFormat="1" applyFont="1" applyFill="1" applyBorder="1" applyAlignment="1">
      <x:alignment horizontal="center" vertical="center"/>
    </x:xf>
    <x:xf numFmtId="207" fontId="8" fillId="7" borderId="18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9" fillId="8" borderId="0" xfId="0" applyNumberFormat="1" applyFont="1" applyFill="1" applyBorder="1"/>
    <x:xf numFmtId="0" fontId="9" fillId="8" borderId="0" xfId="0" applyNumberFormat="1" applyFont="1" applyFill="1" applyBorder="1" applyAlignment="1">
      <x:alignment wrapText="1"/>
    </x:xf>
    <x:xf numFmtId="0" fontId="9" fillId="8" borderId="0" xfId="0" applyNumberFormat="1" applyFont="1" applyFill="1" applyBorder="1" applyAlignment="1">
      <x:alignment horizontal="center" wrapText="1"/>
    </x:xf>
    <x:xf numFmtId="0" fontId="10" fillId="2" borderId="0" xfId="0" applyNumberFormat="1" applyFont="1" applyFill="1" applyBorder="1" applyAlignment="1">
      <x:alignment horizontal="center"/>
    </x:xf>
    <x:xf numFmtId="0" fontId="9" fillId="0" borderId="0" xfId="0" applyNumberFormat="1" applyFont="1" applyFill="1" applyBorder="1"/>
    <x:xf numFmtId="0" fontId="2" fillId="4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11" fillId="9" borderId="0" xfId="0" applyNumberFormat="1" applyFont="1" applyFill="1" applyBorder="1"/>
    <x:xf numFmtId="0" fontId="11" fillId="9" borderId="0" xfId="0" applyNumberFormat="1" applyFont="1" applyFill="1" applyBorder="1" applyAlignment="1">
      <x:alignment wrapText="1"/>
    </x:xf>
    <x:xf numFmtId="0" fontId="11" fillId="9" borderId="0" xfId="0" applyNumberFormat="1" applyFont="1" applyFill="1" applyBorder="1" applyAlignment="1">
      <x:alignment vertical="center" wrapText="1"/>
    </x:xf>
    <x:xf numFmtId="0" fontId="12" fillId="6" borderId="0" xfId="0" applyNumberFormat="1" applyFont="1" applyFill="1" applyBorder="1"/>
    <x:xf numFmtId="0" fontId="12" fillId="6" borderId="0" xfId="0" applyNumberFormat="1" applyFont="1" applyFill="1" applyBorder="1" applyAlignment="1">
      <x:alignment wrapText="1"/>
    </x:xf>
    <x:xf numFmtId="0" fontId="12" fillId="6" borderId="0" xfId="0" applyNumberFormat="1" applyFont="1" applyFill="1" applyBorder="1" applyAlignment="1">
      <x:alignment vertical="center" wrapText="1"/>
    </x:xf>
    <x:xf numFmtId="207" fontId="0" fillId="3" borderId="6" xfId="0" applyNumberFormat="1" applyFont="1" applyFill="1" applyBorder="1"/>
    <x:xf numFmtId="207" fontId="0" fillId="3" borderId="9" xfId="0" applyNumberFormat="1" applyFont="1" applyFill="1" applyBorder="1"/>
    <x:xf numFmtId="207" fontId="0" fillId="3" borderId="12" xfId="0" applyNumberFormat="1" applyFont="1" applyFill="1" applyBorder="1"/>
    <x:xf numFmtId="0" fontId="13" fillId="0" borderId="0" xfId="0" applyNumberFormat="1" applyFont="1" applyFill="1" applyBorder="1"/>
    <x:xf numFmtId="0" fontId="14" fillId="4" borderId="0" xfId="0" applyNumberFormat="1" applyFont="1" applyFill="1" applyBorder="1" applyAlignment="1">
      <x:alignment wrapText="1"/>
    </x:xf>
    <x:xf numFmtId="0" fontId="13" fillId="0" borderId="5" xfId="0" applyNumberFormat="1" applyFont="1" applyFill="1" applyBorder="1"/>
    <x:xf numFmtId="0" fontId="13" fillId="0" borderId="6" xfId="0" applyNumberFormat="1" applyFont="1" applyFill="1" applyBorder="1"/>
    <x:xf numFmtId="0" fontId="13" fillId="0" borderId="7" xfId="0" applyNumberFormat="1" applyFont="1" applyFill="1" applyBorder="1"/>
    <x:xf numFmtId="0" fontId="13" fillId="0" borderId="8" xfId="0" applyNumberFormat="1" applyFont="1" applyFill="1" applyBorder="1"/>
    <x:xf numFmtId="0" fontId="13" fillId="0" borderId="9" xfId="0" applyNumberFormat="1" applyFont="1" applyFill="1" applyBorder="1"/>
    <x:xf numFmtId="0" fontId="13" fillId="0" borderId="10" xfId="0" applyNumberFormat="1" applyFont="1" applyFill="1" applyBorder="1"/>
    <x:xf numFmtId="0" fontId="14" fillId="4" borderId="8" xfId="0" applyNumberFormat="1" applyFont="1" applyFill="1" applyBorder="1" applyAlignment="1">
      <x:alignment wrapText="1"/>
    </x:xf>
    <x:xf numFmtId="0" fontId="14" fillId="4" borderId="9" xfId="0" applyNumberFormat="1" applyFont="1" applyFill="1" applyBorder="1" applyAlignment="1">
      <x:alignment wrapText="1"/>
    </x:xf>
    <x:xf numFmtId="0" fontId="14" fillId="4" borderId="10" xfId="0" applyNumberFormat="1" applyFont="1" applyFill="1" applyBorder="1" applyAlignment="1">
      <x:alignment wrapText="1"/>
    </x:xf>
    <x:xf numFmtId="0" fontId="13" fillId="0" borderId="11" xfId="0" applyNumberFormat="1" applyFont="1" applyFill="1" applyBorder="1"/>
    <x:xf numFmtId="0" fontId="13" fillId="0" borderId="12" xfId="0" applyNumberFormat="1" applyFont="1" applyFill="1" applyBorder="1"/>
    <x:xf numFmtId="0" fontId="13" fillId="0" borderId="13" xfId="0" applyNumberFormat="1" applyFont="1" applyFill="1" applyBorder="1"/>
    <x:xf numFmtId="0" fontId="13" fillId="0" borderId="5" xfId="0" applyNumberFormat="1" applyFont="1" applyFill="1" applyBorder="1" applyAlignment="1">
      <x:alignment wrapText="1"/>
    </x:xf>
    <x:xf numFmtId="0" fontId="13" fillId="0" borderId="6" xfId="0" applyNumberFormat="1" applyFont="1" applyFill="1" applyBorder="1" applyAlignment="1">
      <x:alignment wrapText="1"/>
    </x:xf>
    <x:xf numFmtId="0" fontId="13" fillId="0" borderId="7" xfId="0" applyNumberFormat="1" applyFont="1" applyFill="1" applyBorder="1" applyAlignment="1">
      <x:alignment wrapText="1"/>
    </x:xf>
    <x:xf numFmtId="0" fontId="13" fillId="0" borderId="8" xfId="0" applyNumberFormat="1" applyFont="1" applyFill="1" applyBorder="1" applyAlignment="1">
      <x:alignment wrapText="1"/>
    </x:xf>
    <x:xf numFmtId="0" fontId="13" fillId="0" borderId="9" xfId="0" applyNumberFormat="1" applyFont="1" applyFill="1" applyBorder="1" applyAlignment="1">
      <x:alignment wrapText="1"/>
    </x:xf>
    <x:xf numFmtId="0" fontId="13" fillId="0" borderId="10" xfId="0" applyNumberFormat="1" applyFont="1" applyFill="1" applyBorder="1" applyAlignment="1">
      <x:alignment wrapText="1"/>
    </x:xf>
    <x:xf numFmtId="0" fontId="13" fillId="0" borderId="11" xfId="0" applyNumberFormat="1" applyFont="1" applyFill="1" applyBorder="1" applyAlignment="1">
      <x:alignment wrapText="1"/>
    </x:xf>
    <x:xf numFmtId="0" fontId="13" fillId="0" borderId="12" xfId="0" applyNumberFormat="1" applyFont="1" applyFill="1" applyBorder="1" applyAlignment="1">
      <x:alignment wrapText="1"/>
    </x:xf>
    <x:xf numFmtId="0" fontId="13" fillId="0" borderId="13" xfId="0" applyNumberFormat="1" applyFont="1" applyFill="1" applyBorder="1" applyAlignment="1">
      <x:alignment wrapText="1"/>
    </x:xf>
    <x:xf numFmtId="0" fontId="13" fillId="0" borderId="5" xfId="0" applyNumberFormat="1" applyFont="1" applyFill="1" applyBorder="1" applyAlignment="1">
      <x:alignment vertical="top" wrapText="1"/>
    </x:xf>
    <x:xf numFmtId="0" fontId="13" fillId="0" borderId="6" xfId="0" applyNumberFormat="1" applyFont="1" applyFill="1" applyBorder="1" applyAlignment="1">
      <x:alignment vertical="top" wrapText="1"/>
    </x:xf>
    <x:xf numFmtId="0" fontId="13" fillId="0" borderId="7" xfId="0" applyNumberFormat="1" applyFont="1" applyFill="1" applyBorder="1" applyAlignment="1">
      <x:alignment vertical="top" wrapText="1"/>
    </x:xf>
    <x:xf numFmtId="0" fontId="13" fillId="0" borderId="8" xfId="0" applyNumberFormat="1" applyFont="1" applyFill="1" applyBorder="1" applyAlignment="1">
      <x:alignment vertical="top" wrapText="1"/>
    </x:xf>
    <x:xf numFmtId="0" fontId="13" fillId="0" borderId="9" xfId="0" applyNumberFormat="1" applyFont="1" applyFill="1" applyBorder="1" applyAlignment="1">
      <x:alignment vertical="top" wrapText="1"/>
    </x:xf>
    <x:xf numFmtId="0" fontId="13" fillId="0" borderId="10" xfId="0" applyNumberFormat="1" applyFont="1" applyFill="1" applyBorder="1" applyAlignment="1">
      <x:alignment vertical="top" wrapText="1"/>
    </x:xf>
    <x:xf numFmtId="0" fontId="14" fillId="4" borderId="8" xfId="0" applyNumberFormat="1" applyFont="1" applyFill="1" applyBorder="1" applyAlignment="1">
      <x:alignment vertical="top" wrapText="1"/>
    </x:xf>
    <x:xf numFmtId="0" fontId="14" fillId="4" borderId="9" xfId="0" applyNumberFormat="1" applyFont="1" applyFill="1" applyBorder="1" applyAlignment="1">
      <x:alignment vertical="top" wrapText="1"/>
    </x:xf>
    <x:xf numFmtId="0" fontId="14" fillId="4" borderId="10" xfId="0" applyNumberFormat="1" applyFont="1" applyFill="1" applyBorder="1" applyAlignment="1">
      <x:alignment vertical="top" wrapText="1"/>
    </x:xf>
    <x:xf numFmtId="0" fontId="13" fillId="0" borderId="11" xfId="0" applyNumberFormat="1" applyFont="1" applyFill="1" applyBorder="1" applyAlignment="1">
      <x:alignment vertical="top" wrapText="1"/>
    </x:xf>
    <x:xf numFmtId="0" fontId="13" fillId="0" borderId="12" xfId="0" applyNumberFormat="1" applyFont="1" applyFill="1" applyBorder="1" applyAlignment="1">
      <x:alignment vertical="top" wrapText="1"/>
    </x:xf>
    <x:xf numFmtId="0" fontId="13" fillId="0" borderId="13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176B57"/>
      </x:font>
      <x:fill>
        <x:patternFill patternType="solid">
          <x:bgColor rgb="FFDDF3EE"/>
        </x:patternFill>
      </x:fill>
    </x:dxf>
    <x:dxf>
      <x:font>
        <x:b/>
        <x:color rgb="FFE18A38"/>
      </x:font>
      <x:fill>
        <x:patternFill patternType="solid">
          <x:bgColor rgb="FFFFE7CC"/>
        </x:patternFill>
      </x:fill>
    </x:dxf>
    <x:dxf>
      <x:font>
        <x:b/>
        <x:color rgb="FFC94B54"/>
      </x:font>
      <x:fill>
        <x:patternFill patternType="solid">
          <x:bgColor rgb="FFFADAD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6bb291e4d14e7f" /><Relationship Type="http://schemas.openxmlformats.org/officeDocument/2006/relationships/theme" Target="/xl/theme/theme1.xml" Id="Rc478a1accf514a73" /><Relationship Type="http://schemas.openxmlformats.org/officeDocument/2006/relationships/sharedStrings" Target="/xl/sharedStrings.xml" Id="R67cf9c6ea76741fb" /><Relationship Type="http://schemas.openxmlformats.org/officeDocument/2006/relationships/worksheet" Target="/xl/worksheets/sheet1.xml" Id="Ra38f90222c6f4f87" /><Relationship Type="http://schemas.openxmlformats.org/officeDocument/2006/relationships/worksheet" Target="/xl/worksheets/sheet2.xml" Id="R516c1723d427435a" /><Relationship Type="http://schemas.openxmlformats.org/officeDocument/2006/relationships/worksheet" Target="/xl/worksheets/sheet3.xml" Id="R84bf2af8ba454a81" /><Relationship Type="http://schemas.openxmlformats.org/officeDocument/2006/relationships/worksheet" Target="/xl/worksheets/sheet4.xml" Id="Rf7ed54af1b824265" /><Relationship Type="http://schemas.openxmlformats.org/officeDocument/2006/relationships/worksheet" Target="/xl/worksheets/sheet5.xml" Id="R3db7703eb0a0433b" /><Relationship Type="http://schemas.openxmlformats.org/officeDocument/2006/relationships/worksheet" Target="/xl/worksheets/sheet6.xml" Id="Rd8149ce0d5fe48a8" /><Relationship Type="http://schemas.microsoft.com/office/2017/10/relationships/person" Target="/xl/persons/person.xml" Id="R106fb3e33bd14b6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7e330c25097450f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3dd0a1691b6e4a1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Evolución del balance por franja (mL)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Ingresos</c:v>
          </c:tx>
          <c:marker>
            <c:symbol val="none"/>
          </c:marker>
          <c:cat>
            <c:strRef>
              <c:f>'Calculos'!$D$4:$D$9</c:f>
              <c:strCache>
                <c:ptCount val="0"/>
              </c:strCache>
            </c:strRef>
          </c:cat>
          <c:val>
            <c:numRef>
              <c:f>'Calculos'!$E$4:$E$9</c:f>
              <c:numCache>
                <c:formatCode>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Egresos</c:v>
          </c:tx>
          <c:marker>
            <c:symbol val="none"/>
          </c:marker>
          <c:cat>
            <c:strRef>
              <c:f>'Calculos'!$D$4:$D$9</c:f>
              <c:strCache>
                <c:ptCount val="0"/>
              </c:strCache>
            </c:strRef>
          </c:cat>
          <c:val>
            <c:numRef>
              <c:f>'Calculos'!$F$4:$F$9</c:f>
              <c:numCache>
                <c:formatCode>#,##0</c:formatCode>
                <c:ptCount val="0"/>
              </c:numCache>
            </c:numRef>
          </c:val>
          <c:smooth val="0"/>
        </c:ser>
        <c:ser>
          <c:idx val="2"/>
          <c:order val="2"/>
          <c:tx>
            <c:v>Balance</c:v>
          </c:tx>
          <c:marker>
            <c:symbol val="none"/>
          </c:marker>
          <c:cat>
            <c:strRef>
              <c:f>'Calculos'!$D$4:$D$9</c:f>
              <c:strCache>
                <c:ptCount val="0"/>
              </c:strCache>
            </c:strRef>
          </c:cat>
          <c:val>
            <c:numRef>
              <c:f>'Calculos'!$G$4:$G$9</c:f>
              <c:numCache>
                <c:formatCode>#,##0</c:formatCode>
                <c:ptCount val="0"/>
              </c:numCache>
            </c:numRef>
          </c:val>
          <c:smooth val="0"/>
        </c:ser>
        <c:ser>
          <c:idx val="3"/>
          <c:order val="3"/>
          <c:tx>
            <c:v>Acumulado</c:v>
          </c:tx>
          <c:marker>
            <c:symbol val="none"/>
          </c:marker>
          <c:cat>
            <c:strRef>
              <c:f>'Calculos'!$D$4:$D$9</c:f>
              <c:strCache>
                <c:ptCount val="0"/>
              </c:strCache>
            </c:strRef>
          </c:cat>
          <c:val>
            <c:numRef>
              <c:f>'Calculos'!$H$4:$H$9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Tendencia diaria y balance acumulado (mL)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Ingresos (mL)</c:v>
          </c:tx>
          <c:marker>
            <c:symbol val="none"/>
          </c:marker>
          <c:cat>
            <c:strRef>
              <c:f>'BH Acumulado'!$A$7:$A$36</c:f>
              <c:strCache>
                <c:ptCount val="0"/>
              </c:strCache>
            </c:strRef>
          </c:cat>
          <c:val>
            <c:numRef>
              <c:f>'BH Acumulado'!$B$7:$B$36</c:f>
              <c:numCache>
                <c:formatCode>#,##0" mL"</c:formatCode>
                <c:ptCount val="0"/>
              </c:numCache>
            </c:numRef>
          </c:val>
          <c:smooth val="0"/>
        </c:ser>
        <c:ser>
          <c:idx val="1"/>
          <c:order val="1"/>
          <c:tx>
            <c:v>Egresos (mL)</c:v>
          </c:tx>
          <c:marker>
            <c:symbol val="none"/>
          </c:marker>
          <c:cat>
            <c:strRef>
              <c:f>'BH Acumulado'!$A$7:$A$36</c:f>
              <c:strCache>
                <c:ptCount val="0"/>
              </c:strCache>
            </c:strRef>
          </c:cat>
          <c:val>
            <c:numRef>
              <c:f>'BH Acumulado'!$C$7:$C$36</c:f>
              <c:numCache>
                <c:formatCode>#,##0" mL"</c:formatCode>
                <c:ptCount val="0"/>
              </c:numCache>
            </c:numRef>
          </c:val>
          <c:smooth val="0"/>
        </c:ser>
        <c:ser>
          <c:idx val="2"/>
          <c:order val="2"/>
          <c:tx>
            <c:v>Balance diario (mL)</c:v>
          </c:tx>
          <c:marker>
            <c:symbol val="none"/>
          </c:marker>
          <c:cat>
            <c:strRef>
              <c:f>'BH Acumulado'!$A$7:$A$36</c:f>
              <c:strCache>
                <c:ptCount val="0"/>
              </c:strCache>
            </c:strRef>
          </c:cat>
          <c:val>
            <c:numRef>
              <c:f>'BH Acumulado'!$D$7:$D$36</c:f>
              <c:numCache>
                <c:formatCode>#,##0" mL"</c:formatCode>
                <c:ptCount val="0"/>
              </c:numCache>
            </c:numRef>
          </c:val>
          <c:smooth val="0"/>
        </c:ser>
        <c:ser>
          <c:idx val="3"/>
          <c:order val="3"/>
          <c:tx>
            <c:v>BH acumulado (mL)</c:v>
          </c:tx>
          <c:marker>
            <c:symbol val="none"/>
          </c:marker>
          <c:cat>
            <c:strRef>
              <c:f>'BH Acumulado'!$A$7:$A$36</c:f>
              <c:strCache>
                <c:ptCount val="0"/>
              </c:strCache>
            </c:strRef>
          </c:cat>
          <c:val>
            <c:numRef>
              <c:f>'BH Acumulado'!$E$7:$E$36</c:f>
              <c:numCache>
                <c:formatCode>#,##0" mL"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16</xdr:row>
      <xdr:rowOff>0</xdr:rowOff>
    </xdr:from>
    <xdr:to>
      <xdr:col>12</xdr:col>
      <xdr:colOff>0</xdr:colOff>
      <xdr:row>36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7e330c25097450f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8</xdr:col>
      <xdr:colOff>0</xdr:colOff>
      <xdr:row>2</xdr:row>
      <xdr:rowOff>0</xdr:rowOff>
    </xdr:from>
    <xdr:to>
      <xdr:col>17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dd0a1691b6e4a10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User" id="{BF53F8F1-7323-4239-9D2D-F2EE39971DB7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G10" dT="2026-08-15T04:29:12.559" personId="{BF53F8F1-7323-4239-9D2D-F2EE39971DB7}" id="{A4AD2E24-73D8-A971-D052-8BE95B41A18D}">
    <xltc:text>Ingrese el volumen numérico en mililitros. No escriba la unidad dentro de la celda.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B10" dT="2026-08-15T04:29:12.56" personId="{BF53F8F1-7323-4239-9D2D-F2EE39971DB7}" id="{61FA2C08-A585-866B-BE5F-5F63A6A73256}">
    <xltc:text>Indicador informativo: diuresis total ÷ peso ÷ horas registradas. Interpretar según edad, contexto y protocolo institucional.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c97916880b9047af" /><Relationship Type="http://schemas.openxmlformats.org/officeDocument/2006/relationships/vmlDrawing" Target="/xl/drawings/vmldrawing.vml" Id="R8a565f2cd97e4e02" /><Relationship Type="http://schemas.microsoft.com/office/2017/10/relationships/threadedComment" Target="/xl/threadedcomments/threadedcomment.xml" Id="R5830f3b62374493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967154c2a3d6490f" /><Relationship Type="http://schemas.openxmlformats.org/officeDocument/2006/relationships/vmlDrawing" Target="/xl/drawings/vmldrawing2.vml" Id="R92e8c463f7914043" /><Relationship Type="http://schemas.microsoft.com/office/2017/10/relationships/threadedComment" Target="/xl/threadedcomments/threadedcomment2.xml" Id="Rea90e92df16d4f0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65eea91b959f488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2.xml" Id="Rd2c2c993b1f84d3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0" hidden="0" customWidth="1"/>
    <x:col min="3" max="3" width="12" hidden="0" customWidth="1"/>
    <x:col min="4" max="4" width="19" hidden="0" customWidth="1"/>
    <x:col min="5" max="5" width="19" hidden="0" customWidth="1"/>
    <x:col min="6" max="6" width="26" hidden="0" customWidth="1"/>
    <x:col min="7" max="7" width="14" hidden="0" customWidth="1"/>
    <x:col min="8" max="8" width="14" hidden="0" customWidth="1"/>
    <x:col min="9" max="9" width="14" hidden="0" customWidth="1"/>
    <x:col min="10" max="10" width="20" hidden="0" customWidth="1"/>
    <x:col min="11" max="11" width="28" hidden="0" customWidth="1"/>
  </x:cols>
  <x:sheetData>
    <x:row r="1" ht="32" customHeight="1">
      <x:c r="A1" s="45" t="str">
        <x:v>BALANCE HÍDRICO DE ENFERMERÍA · REGISTRO DE 24 HORAS</x:v>
      </x:c>
      <x:c r="B1" s="45"/>
      <x:c r="C1" s="45"/>
      <x:c r="D1" s="45"/>
      <x:c r="E1" s="45"/>
      <x:c r="F1" s="45"/>
      <x:c r="G1" s="45"/>
      <x:c r="H1" s="45"/>
      <x:c r="I1" s="45"/>
      <x:c r="J1" s="45"/>
      <x:c r="K1" s="45"/>
    </x:row>
    <x:row r="3">
      <x:c r="A3" s="5" t="str">
        <x:v>Paciente</x:v>
      </x:c>
      <x:c r="B3" s="7" t="str"/>
      <x:c r="C3" s="5" t="str">
        <x:v>Historia clínica</x:v>
      </x:c>
      <x:c r="D3" s="12" t="str"/>
      <x:c r="E3" s="5" t="str">
        <x:v>Fecha del balance</x:v>
      </x:c>
      <x:c r="F3" s="13" t="str"/>
    </x:row>
    <x:row r="4">
      <x:c r="A4" s="5" t="str">
        <x:v>Servicio / Unidad</x:v>
      </x:c>
      <x:c r="B4" s="7" t="str"/>
      <x:c r="C4" s="5" t="str">
        <x:v>Cama</x:v>
      </x:c>
      <x:c r="D4" s="7" t="str"/>
      <x:c r="E4" s="5" t="str">
        <x:v>Turno</x:v>
      </x:c>
      <x:c r="F4" s="7" t="str">
        <x:v>24 horas</x:v>
      </x:c>
    </x:row>
    <x:row r="5">
      <x:c r="A5" s="5" t="str">
        <x:v>Peso (kg)</x:v>
      </x:c>
      <x:c r="B5" s="11" t="str"/>
      <x:c r="C5" s="5" t="str">
        <x:v>Edad</x:v>
      </x:c>
      <x:c r="D5" s="7" t="str"/>
      <x:c r="E5" s="5" t="str">
        <x:v>Diagnóstico</x:v>
      </x:c>
      <x:c r="F5" s="7" t="str"/>
    </x:row>
    <x:row r="6">
      <x:c r="A6" s="5" t="str">
        <x:v>Responsable</x:v>
      </x:c>
      <x:c r="B6" s="7" t="str"/>
      <x:c r="C6" s="5" t="str">
        <x:v>Objetivo indicado (mL)</x:v>
      </x:c>
      <x:c r="D6" s="7" t="str"/>
      <x:c r="E6" s="5" t="str">
        <x:v>Inicio</x:v>
      </x:c>
      <x:c r="F6" s="7" t="str">
        <x:v>07:00</x:v>
      </x:c>
    </x:row>
    <x:row r="7">
      <x:c r="A7" s="5" t="str">
        <x:v>Observaciones clínicas</x:v>
      </x:c>
      <x:c r="B7" s="8" t="str"/>
      <x:c r="C7" s="9" t="str"/>
      <x:c r="D7" s="9" t="str"/>
      <x:c r="E7" s="9" t="str"/>
      <x:c r="F7" s="10" t="str"/>
    </x:row>
    <x:row r="10">
      <x:c r="A10" s="18" t="str">
        <x:v>Fecha</x:v>
      </x:c>
      <x:c r="B10" s="18" t="str">
        <x:v>Hora</x:v>
      </x:c>
      <x:c r="C10" s="18" t="str">
        <x:v>Tipo</x:v>
      </x:c>
      <x:c r="D10" s="18" t="str">
        <x:v>Categoría</x:v>
      </x:c>
      <x:c r="E10" s="18" t="str">
        <x:v>Vía / dispositivo</x:v>
      </x:c>
      <x:c r="F10" s="18" t="str">
        <x:v>Descripción</x:v>
      </x:c>
      <x:c r="G10" s="18" t="str">
        <x:v>Volumen (mL)</x:v>
      </x:c>
      <x:c r="H10" s="18" t="str">
        <x:v>Ingreso (mL)</x:v>
      </x:c>
      <x:c r="I10" s="18" t="str">
        <x:v>Egreso (mL)</x:v>
      </x:c>
      <x:c r="J10" s="18" t="str">
        <x:v>Balance acumulado (mL)</x:v>
      </x:c>
      <x:c r="K10" s="18" t="str">
        <x:v>Observaciones</x:v>
      </x:c>
    </x:row>
    <x:row r="11">
      <x:c r="A11" s="32"/>
      <x:c r="B11" s="35"/>
      <x:c r="C11" s="21" t="str"/>
      <x:c r="D11" s="21" t="str"/>
      <x:c r="E11" s="21" t="str"/>
      <x:c r="F11" s="21" t="str"/>
      <x:c r="G11" s="38"/>
      <x:c r="H11" s="39" t="n">
        <x:f>IF(C11="Ingreso",G11,0)</x:f>
        <x:v>0</x:v>
      </x:c>
      <x:c r="I11" s="39" t="n">
        <x:f>IF(C11="Egreso",G11,0)</x:f>
        <x:v>0</x:v>
      </x:c>
      <x:c r="J11" s="39" t="n">
        <x:f>H11-I11</x:f>
        <x:v>0</x:v>
      </x:c>
      <x:c r="K11" s="23" t="str"/>
    </x:row>
    <x:row r="12">
      <x:c r="A12" s="33"/>
      <x:c r="B12" s="36"/>
      <x:c r="C12" s="25" t="str"/>
      <x:c r="D12" s="25" t="str"/>
      <x:c r="E12" s="25" t="str"/>
      <x:c r="F12" s="25" t="str"/>
      <x:c r="G12" s="40"/>
      <x:c r="H12" s="41" t="n">
        <x:f>IF(C12="Ingreso",G12,0)</x:f>
        <x:v>0</x:v>
      </x:c>
      <x:c r="I12" s="41" t="n">
        <x:f>IF(C12="Egreso",G12,0)</x:f>
        <x:v>0</x:v>
      </x:c>
      <x:c r="J12" s="41" t="n">
        <x:f>J11+H12-I12</x:f>
        <x:v>0</x:v>
      </x:c>
      <x:c r="K12" s="27" t="str"/>
    </x:row>
    <x:row r="13">
      <x:c r="A13" s="33"/>
      <x:c r="B13" s="36"/>
      <x:c r="C13" s="25" t="str"/>
      <x:c r="D13" s="25" t="str"/>
      <x:c r="E13" s="25" t="str"/>
      <x:c r="F13" s="25" t="str"/>
      <x:c r="G13" s="40"/>
      <x:c r="H13" s="41" t="n">
        <x:f>IF(C13="Ingreso",G13,0)</x:f>
        <x:v>0</x:v>
      </x:c>
      <x:c r="I13" s="41" t="n">
        <x:f>IF(C13="Egreso",G13,0)</x:f>
        <x:v>0</x:v>
      </x:c>
      <x:c r="J13" s="41" t="n">
        <x:f>J12+H13-I13</x:f>
        <x:v>0</x:v>
      </x:c>
      <x:c r="K13" s="27" t="str"/>
    </x:row>
    <x:row r="14">
      <x:c r="A14" s="33"/>
      <x:c r="B14" s="36"/>
      <x:c r="C14" s="25" t="str"/>
      <x:c r="D14" s="25" t="str"/>
      <x:c r="E14" s="25" t="str"/>
      <x:c r="F14" s="25" t="str"/>
      <x:c r="G14" s="40"/>
      <x:c r="H14" s="41" t="n">
        <x:f>IF(C14="Ingreso",G14,0)</x:f>
        <x:v>0</x:v>
      </x:c>
      <x:c r="I14" s="41" t="n">
        <x:f>IF(C14="Egreso",G14,0)</x:f>
        <x:v>0</x:v>
      </x:c>
      <x:c r="J14" s="41" t="n">
        <x:f>J13+H14-I14</x:f>
        <x:v>0</x:v>
      </x:c>
      <x:c r="K14" s="27" t="str"/>
    </x:row>
    <x:row r="15">
      <x:c r="A15" s="33"/>
      <x:c r="B15" s="36"/>
      <x:c r="C15" s="25" t="str"/>
      <x:c r="D15" s="25" t="str"/>
      <x:c r="E15" s="25" t="str"/>
      <x:c r="F15" s="25" t="str"/>
      <x:c r="G15" s="40"/>
      <x:c r="H15" s="41" t="n">
        <x:f>IF(C15="Ingreso",G15,0)</x:f>
        <x:v>0</x:v>
      </x:c>
      <x:c r="I15" s="41" t="n">
        <x:f>IF(C15="Egreso",G15,0)</x:f>
        <x:v>0</x:v>
      </x:c>
      <x:c r="J15" s="41" t="n">
        <x:f>J14+H15-I15</x:f>
        <x:v>0</x:v>
      </x:c>
      <x:c r="K15" s="27" t="str"/>
    </x:row>
    <x:row r="16">
      <x:c r="A16" s="33"/>
      <x:c r="B16" s="36"/>
      <x:c r="C16" s="25" t="str"/>
      <x:c r="D16" s="25" t="str"/>
      <x:c r="E16" s="25" t="str"/>
      <x:c r="F16" s="25" t="str"/>
      <x:c r="G16" s="40"/>
      <x:c r="H16" s="41" t="n">
        <x:f>IF(C16="Ingreso",G16,0)</x:f>
        <x:v>0</x:v>
      </x:c>
      <x:c r="I16" s="41" t="n">
        <x:f>IF(C16="Egreso",G16,0)</x:f>
        <x:v>0</x:v>
      </x:c>
      <x:c r="J16" s="41" t="n">
        <x:f>J15+H16-I16</x:f>
        <x:v>0</x:v>
      </x:c>
      <x:c r="K16" s="27" t="str"/>
    </x:row>
    <x:row r="17">
      <x:c r="A17" s="33"/>
      <x:c r="B17" s="36"/>
      <x:c r="C17" s="25" t="str"/>
      <x:c r="D17" s="25" t="str"/>
      <x:c r="E17" s="25" t="str"/>
      <x:c r="F17" s="25" t="str"/>
      <x:c r="G17" s="40"/>
      <x:c r="H17" s="41" t="n">
        <x:f>IF(C17="Ingreso",G17,0)</x:f>
        <x:v>0</x:v>
      </x:c>
      <x:c r="I17" s="41" t="n">
        <x:f>IF(C17="Egreso",G17,0)</x:f>
        <x:v>0</x:v>
      </x:c>
      <x:c r="J17" s="41" t="n">
        <x:f>J16+H17-I17</x:f>
        <x:v>0</x:v>
      </x:c>
      <x:c r="K17" s="27" t="str"/>
    </x:row>
    <x:row r="18">
      <x:c r="A18" s="33"/>
      <x:c r="B18" s="36"/>
      <x:c r="C18" s="25" t="str"/>
      <x:c r="D18" s="25" t="str"/>
      <x:c r="E18" s="25" t="str"/>
      <x:c r="F18" s="25" t="str"/>
      <x:c r="G18" s="40"/>
      <x:c r="H18" s="41" t="n">
        <x:f>IF(C18="Ingreso",G18,0)</x:f>
        <x:v>0</x:v>
      </x:c>
      <x:c r="I18" s="41" t="n">
        <x:f>IF(C18="Egreso",G18,0)</x:f>
        <x:v>0</x:v>
      </x:c>
      <x:c r="J18" s="41" t="n">
        <x:f>J17+H18-I18</x:f>
        <x:v>0</x:v>
      </x:c>
      <x:c r="K18" s="27" t="str"/>
    </x:row>
    <x:row r="19">
      <x:c r="A19" s="33"/>
      <x:c r="B19" s="36"/>
      <x:c r="C19" s="25" t="str"/>
      <x:c r="D19" s="25" t="str"/>
      <x:c r="E19" s="25" t="str"/>
      <x:c r="F19" s="25" t="str"/>
      <x:c r="G19" s="40"/>
      <x:c r="H19" s="41" t="n">
        <x:f>IF(C19="Ingreso",G19,0)</x:f>
        <x:v>0</x:v>
      </x:c>
      <x:c r="I19" s="41" t="n">
        <x:f>IF(C19="Egreso",G19,0)</x:f>
        <x:v>0</x:v>
      </x:c>
      <x:c r="J19" s="41" t="n">
        <x:f>J18+H19-I19</x:f>
        <x:v>0</x:v>
      </x:c>
      <x:c r="K19" s="27" t="str"/>
    </x:row>
    <x:row r="20">
      <x:c r="A20" s="33"/>
      <x:c r="B20" s="36"/>
      <x:c r="C20" s="25" t="str"/>
      <x:c r="D20" s="25" t="str"/>
      <x:c r="E20" s="25" t="str"/>
      <x:c r="F20" s="25" t="str"/>
      <x:c r="G20" s="40"/>
      <x:c r="H20" s="41" t="n">
        <x:f>IF(C20="Ingreso",G20,0)</x:f>
        <x:v>0</x:v>
      </x:c>
      <x:c r="I20" s="41" t="n">
        <x:f>IF(C20="Egreso",G20,0)</x:f>
        <x:v>0</x:v>
      </x:c>
      <x:c r="J20" s="41" t="n">
        <x:f>J19+H20-I20</x:f>
        <x:v>0</x:v>
      </x:c>
      <x:c r="K20" s="27" t="str"/>
    </x:row>
    <x:row r="21">
      <x:c r="A21" s="33"/>
      <x:c r="B21" s="36"/>
      <x:c r="C21" s="25" t="str"/>
      <x:c r="D21" s="25" t="str"/>
      <x:c r="E21" s="25" t="str"/>
      <x:c r="F21" s="25" t="str"/>
      <x:c r="G21" s="40"/>
      <x:c r="H21" s="41" t="n">
        <x:f>IF(C21="Ingreso",G21,0)</x:f>
        <x:v>0</x:v>
      </x:c>
      <x:c r="I21" s="41" t="n">
        <x:f>IF(C21="Egreso",G21,0)</x:f>
        <x:v>0</x:v>
      </x:c>
      <x:c r="J21" s="41" t="n">
        <x:f>J20+H21-I21</x:f>
        <x:v>0</x:v>
      </x:c>
      <x:c r="K21" s="27" t="str"/>
    </x:row>
    <x:row r="22">
      <x:c r="A22" s="33"/>
      <x:c r="B22" s="36"/>
      <x:c r="C22" s="25" t="str"/>
      <x:c r="D22" s="25" t="str"/>
      <x:c r="E22" s="25" t="str"/>
      <x:c r="F22" s="25" t="str"/>
      <x:c r="G22" s="40"/>
      <x:c r="H22" s="41" t="n">
        <x:f>IF(C22="Ingreso",G22,0)</x:f>
        <x:v>0</x:v>
      </x:c>
      <x:c r="I22" s="41" t="n">
        <x:f>IF(C22="Egreso",G22,0)</x:f>
        <x:v>0</x:v>
      </x:c>
      <x:c r="J22" s="41" t="n">
        <x:f>J21+H22-I22</x:f>
        <x:v>0</x:v>
      </x:c>
      <x:c r="K22" s="27" t="str"/>
    </x:row>
    <x:row r="23">
      <x:c r="A23" s="33"/>
      <x:c r="B23" s="36"/>
      <x:c r="C23" s="25" t="str"/>
      <x:c r="D23" s="25" t="str"/>
      <x:c r="E23" s="25" t="str"/>
      <x:c r="F23" s="25" t="str"/>
      <x:c r="G23" s="40"/>
      <x:c r="H23" s="41" t="n">
        <x:f>IF(C23="Ingreso",G23,0)</x:f>
        <x:v>0</x:v>
      </x:c>
      <x:c r="I23" s="41" t="n">
        <x:f>IF(C23="Egreso",G23,0)</x:f>
        <x:v>0</x:v>
      </x:c>
      <x:c r="J23" s="41" t="n">
        <x:f>J22+H23-I23</x:f>
        <x:v>0</x:v>
      </x:c>
      <x:c r="K23" s="27" t="str"/>
    </x:row>
    <x:row r="24">
      <x:c r="A24" s="33"/>
      <x:c r="B24" s="36"/>
      <x:c r="C24" s="25" t="str"/>
      <x:c r="D24" s="25" t="str"/>
      <x:c r="E24" s="25" t="str"/>
      <x:c r="F24" s="25" t="str"/>
      <x:c r="G24" s="40"/>
      <x:c r="H24" s="41" t="n">
        <x:f>IF(C24="Ingreso",G24,0)</x:f>
        <x:v>0</x:v>
      </x:c>
      <x:c r="I24" s="41" t="n">
        <x:f>IF(C24="Egreso",G24,0)</x:f>
        <x:v>0</x:v>
      </x:c>
      <x:c r="J24" s="41" t="n">
        <x:f>J23+H24-I24</x:f>
        <x:v>0</x:v>
      </x:c>
      <x:c r="K24" s="27" t="str"/>
    </x:row>
    <x:row r="25">
      <x:c r="A25" s="33"/>
      <x:c r="B25" s="36"/>
      <x:c r="C25" s="25" t="str"/>
      <x:c r="D25" s="25" t="str"/>
      <x:c r="E25" s="25" t="str"/>
      <x:c r="F25" s="25" t="str"/>
      <x:c r="G25" s="40"/>
      <x:c r="H25" s="41" t="n">
        <x:f>IF(C25="Ingreso",G25,0)</x:f>
        <x:v>0</x:v>
      </x:c>
      <x:c r="I25" s="41" t="n">
        <x:f>IF(C25="Egreso",G25,0)</x:f>
        <x:v>0</x:v>
      </x:c>
      <x:c r="J25" s="41" t="n">
        <x:f>J24+H25-I25</x:f>
        <x:v>0</x:v>
      </x:c>
      <x:c r="K25" s="27" t="str"/>
    </x:row>
    <x:row r="26">
      <x:c r="A26" s="33"/>
      <x:c r="B26" s="36"/>
      <x:c r="C26" s="25" t="str"/>
      <x:c r="D26" s="25" t="str"/>
      <x:c r="E26" s="25" t="str"/>
      <x:c r="F26" s="25" t="str"/>
      <x:c r="G26" s="40"/>
      <x:c r="H26" s="41" t="n">
        <x:f>IF(C26="Ingreso",G26,0)</x:f>
        <x:v>0</x:v>
      </x:c>
      <x:c r="I26" s="41" t="n">
        <x:f>IF(C26="Egreso",G26,0)</x:f>
        <x:v>0</x:v>
      </x:c>
      <x:c r="J26" s="41" t="n">
        <x:f>J25+H26-I26</x:f>
        <x:v>0</x:v>
      </x:c>
      <x:c r="K26" s="27" t="str"/>
    </x:row>
    <x:row r="27">
      <x:c r="A27" s="33"/>
      <x:c r="B27" s="36"/>
      <x:c r="C27" s="25" t="str"/>
      <x:c r="D27" s="25" t="str"/>
      <x:c r="E27" s="25" t="str"/>
      <x:c r="F27" s="25" t="str"/>
      <x:c r="G27" s="40"/>
      <x:c r="H27" s="41" t="n">
        <x:f>IF(C27="Ingreso",G27,0)</x:f>
        <x:v>0</x:v>
      </x:c>
      <x:c r="I27" s="41" t="n">
        <x:f>IF(C27="Egreso",G27,0)</x:f>
        <x:v>0</x:v>
      </x:c>
      <x:c r="J27" s="41" t="n">
        <x:f>J26+H27-I27</x:f>
        <x:v>0</x:v>
      </x:c>
      <x:c r="K27" s="27" t="str"/>
    </x:row>
    <x:row r="28">
      <x:c r="A28" s="33"/>
      <x:c r="B28" s="36"/>
      <x:c r="C28" s="25" t="str"/>
      <x:c r="D28" s="25" t="str"/>
      <x:c r="E28" s="25" t="str"/>
      <x:c r="F28" s="25" t="str"/>
      <x:c r="G28" s="40"/>
      <x:c r="H28" s="41" t="n">
        <x:f>IF(C28="Ingreso",G28,0)</x:f>
        <x:v>0</x:v>
      </x:c>
      <x:c r="I28" s="41" t="n">
        <x:f>IF(C28="Egreso",G28,0)</x:f>
        <x:v>0</x:v>
      </x:c>
      <x:c r="J28" s="41" t="n">
        <x:f>J27+H28-I28</x:f>
        <x:v>0</x:v>
      </x:c>
      <x:c r="K28" s="27" t="str"/>
    </x:row>
    <x:row r="29">
      <x:c r="A29" s="33"/>
      <x:c r="B29" s="36"/>
      <x:c r="C29" s="25" t="str"/>
      <x:c r="D29" s="25" t="str"/>
      <x:c r="E29" s="25" t="str"/>
      <x:c r="F29" s="25" t="str"/>
      <x:c r="G29" s="40"/>
      <x:c r="H29" s="41" t="n">
        <x:f>IF(C29="Ingreso",G29,0)</x:f>
        <x:v>0</x:v>
      </x:c>
      <x:c r="I29" s="41" t="n">
        <x:f>IF(C29="Egreso",G29,0)</x:f>
        <x:v>0</x:v>
      </x:c>
      <x:c r="J29" s="41" t="n">
        <x:f>J28+H29-I29</x:f>
        <x:v>0</x:v>
      </x:c>
      <x:c r="K29" s="27" t="str"/>
    </x:row>
    <x:row r="30">
      <x:c r="A30" s="33"/>
      <x:c r="B30" s="36"/>
      <x:c r="C30" s="25" t="str"/>
      <x:c r="D30" s="25" t="str"/>
      <x:c r="E30" s="25" t="str"/>
      <x:c r="F30" s="25" t="str"/>
      <x:c r="G30" s="40"/>
      <x:c r="H30" s="41" t="n">
        <x:f>IF(C30="Ingreso",G30,0)</x:f>
        <x:v>0</x:v>
      </x:c>
      <x:c r="I30" s="41" t="n">
        <x:f>IF(C30="Egreso",G30,0)</x:f>
        <x:v>0</x:v>
      </x:c>
      <x:c r="J30" s="41" t="n">
        <x:f>J29+H30-I30</x:f>
        <x:v>0</x:v>
      </x:c>
      <x:c r="K30" s="27" t="str"/>
    </x:row>
    <x:row r="31">
      <x:c r="A31" s="33"/>
      <x:c r="B31" s="36"/>
      <x:c r="C31" s="25" t="str"/>
      <x:c r="D31" s="25" t="str"/>
      <x:c r="E31" s="25" t="str"/>
      <x:c r="F31" s="25" t="str"/>
      <x:c r="G31" s="40"/>
      <x:c r="H31" s="41" t="n">
        <x:f>IF(C31="Ingreso",G31,0)</x:f>
        <x:v>0</x:v>
      </x:c>
      <x:c r="I31" s="41" t="n">
        <x:f>IF(C31="Egreso",G31,0)</x:f>
        <x:v>0</x:v>
      </x:c>
      <x:c r="J31" s="41" t="n">
        <x:f>J30+H31-I31</x:f>
        <x:v>0</x:v>
      </x:c>
      <x:c r="K31" s="27" t="str"/>
    </x:row>
    <x:row r="32">
      <x:c r="A32" s="33"/>
      <x:c r="B32" s="36"/>
      <x:c r="C32" s="25" t="str"/>
      <x:c r="D32" s="25" t="str"/>
      <x:c r="E32" s="25" t="str"/>
      <x:c r="F32" s="25" t="str"/>
      <x:c r="G32" s="40"/>
      <x:c r="H32" s="41" t="n">
        <x:f>IF(C32="Ingreso",G32,0)</x:f>
        <x:v>0</x:v>
      </x:c>
      <x:c r="I32" s="41" t="n">
        <x:f>IF(C32="Egreso",G32,0)</x:f>
        <x:v>0</x:v>
      </x:c>
      <x:c r="J32" s="41" t="n">
        <x:f>J31+H32-I32</x:f>
        <x:v>0</x:v>
      </x:c>
      <x:c r="K32" s="27" t="str"/>
    </x:row>
    <x:row r="33">
      <x:c r="A33" s="33"/>
      <x:c r="B33" s="36"/>
      <x:c r="C33" s="25" t="str"/>
      <x:c r="D33" s="25" t="str"/>
      <x:c r="E33" s="25" t="str"/>
      <x:c r="F33" s="25" t="str"/>
      <x:c r="G33" s="40"/>
      <x:c r="H33" s="41" t="n">
        <x:f>IF(C33="Ingreso",G33,0)</x:f>
        <x:v>0</x:v>
      </x:c>
      <x:c r="I33" s="41" t="n">
        <x:f>IF(C33="Egreso",G33,0)</x:f>
        <x:v>0</x:v>
      </x:c>
      <x:c r="J33" s="41" t="n">
        <x:f>J32+H33-I33</x:f>
        <x:v>0</x:v>
      </x:c>
      <x:c r="K33" s="27" t="str"/>
    </x:row>
    <x:row r="34">
      <x:c r="A34" s="33"/>
      <x:c r="B34" s="36"/>
      <x:c r="C34" s="25" t="str"/>
      <x:c r="D34" s="25" t="str"/>
      <x:c r="E34" s="25" t="str"/>
      <x:c r="F34" s="25" t="str"/>
      <x:c r="G34" s="40"/>
      <x:c r="H34" s="41" t="n">
        <x:f>IF(C34="Ingreso",G34,0)</x:f>
        <x:v>0</x:v>
      </x:c>
      <x:c r="I34" s="41" t="n">
        <x:f>IF(C34="Egreso",G34,0)</x:f>
        <x:v>0</x:v>
      </x:c>
      <x:c r="J34" s="41" t="n">
        <x:f>J33+H34-I34</x:f>
        <x:v>0</x:v>
      </x:c>
      <x:c r="K34" s="27" t="str"/>
    </x:row>
    <x:row r="35">
      <x:c r="A35" s="33"/>
      <x:c r="B35" s="36"/>
      <x:c r="C35" s="25" t="str"/>
      <x:c r="D35" s="25" t="str"/>
      <x:c r="E35" s="25" t="str"/>
      <x:c r="F35" s="25" t="str"/>
      <x:c r="G35" s="40"/>
      <x:c r="H35" s="41" t="n">
        <x:f>IF(C35="Ingreso",G35,0)</x:f>
        <x:v>0</x:v>
      </x:c>
      <x:c r="I35" s="41" t="n">
        <x:f>IF(C35="Egreso",G35,0)</x:f>
        <x:v>0</x:v>
      </x:c>
      <x:c r="J35" s="41" t="n">
        <x:f>J34+H35-I35</x:f>
        <x:v>0</x:v>
      </x:c>
      <x:c r="K35" s="27" t="str"/>
    </x:row>
    <x:row r="36">
      <x:c r="A36" s="33"/>
      <x:c r="B36" s="36"/>
      <x:c r="C36" s="25" t="str"/>
      <x:c r="D36" s="25" t="str"/>
      <x:c r="E36" s="25" t="str"/>
      <x:c r="F36" s="25" t="str"/>
      <x:c r="G36" s="40"/>
      <x:c r="H36" s="41" t="n">
        <x:f>IF(C36="Ingreso",G36,0)</x:f>
        <x:v>0</x:v>
      </x:c>
      <x:c r="I36" s="41" t="n">
        <x:f>IF(C36="Egreso",G36,0)</x:f>
        <x:v>0</x:v>
      </x:c>
      <x:c r="J36" s="41" t="n">
        <x:f>J35+H36-I36</x:f>
        <x:v>0</x:v>
      </x:c>
      <x:c r="K36" s="27" t="str"/>
    </x:row>
    <x:row r="37">
      <x:c r="A37" s="33"/>
      <x:c r="B37" s="36"/>
      <x:c r="C37" s="25" t="str"/>
      <x:c r="D37" s="25" t="str"/>
      <x:c r="E37" s="25" t="str"/>
      <x:c r="F37" s="25" t="str"/>
      <x:c r="G37" s="40"/>
      <x:c r="H37" s="41" t="n">
        <x:f>IF(C37="Ingreso",G37,0)</x:f>
        <x:v>0</x:v>
      </x:c>
      <x:c r="I37" s="41" t="n">
        <x:f>IF(C37="Egreso",G37,0)</x:f>
        <x:v>0</x:v>
      </x:c>
      <x:c r="J37" s="41" t="n">
        <x:f>J36+H37-I37</x:f>
        <x:v>0</x:v>
      </x:c>
      <x:c r="K37" s="27" t="str"/>
    </x:row>
    <x:row r="38">
      <x:c r="A38" s="33"/>
      <x:c r="B38" s="36"/>
      <x:c r="C38" s="25" t="str"/>
      <x:c r="D38" s="25" t="str"/>
      <x:c r="E38" s="25" t="str"/>
      <x:c r="F38" s="25" t="str"/>
      <x:c r="G38" s="40"/>
      <x:c r="H38" s="41" t="n">
        <x:f>IF(C38="Ingreso",G38,0)</x:f>
        <x:v>0</x:v>
      </x:c>
      <x:c r="I38" s="41" t="n">
        <x:f>IF(C38="Egreso",G38,0)</x:f>
        <x:v>0</x:v>
      </x:c>
      <x:c r="J38" s="41" t="n">
        <x:f>J37+H38-I38</x:f>
        <x:v>0</x:v>
      </x:c>
      <x:c r="K38" s="27" t="str"/>
    </x:row>
    <x:row r="39">
      <x:c r="A39" s="33"/>
      <x:c r="B39" s="36"/>
      <x:c r="C39" s="25" t="str"/>
      <x:c r="D39" s="25" t="str"/>
      <x:c r="E39" s="25" t="str"/>
      <x:c r="F39" s="25" t="str"/>
      <x:c r="G39" s="40"/>
      <x:c r="H39" s="41" t="n">
        <x:f>IF(C39="Ingreso",G39,0)</x:f>
        <x:v>0</x:v>
      </x:c>
      <x:c r="I39" s="41" t="n">
        <x:f>IF(C39="Egreso",G39,0)</x:f>
        <x:v>0</x:v>
      </x:c>
      <x:c r="J39" s="41" t="n">
        <x:f>J38+H39-I39</x:f>
        <x:v>0</x:v>
      </x:c>
      <x:c r="K39" s="27" t="str"/>
    </x:row>
    <x:row r="40">
      <x:c r="A40" s="33"/>
      <x:c r="B40" s="36"/>
      <x:c r="C40" s="25" t="str"/>
      <x:c r="D40" s="25" t="str"/>
      <x:c r="E40" s="25" t="str"/>
      <x:c r="F40" s="25" t="str"/>
      <x:c r="G40" s="40"/>
      <x:c r="H40" s="41" t="n">
        <x:f>IF(C40="Ingreso",G40,0)</x:f>
        <x:v>0</x:v>
      </x:c>
      <x:c r="I40" s="41" t="n">
        <x:f>IF(C40="Egreso",G40,0)</x:f>
        <x:v>0</x:v>
      </x:c>
      <x:c r="J40" s="41" t="n">
        <x:f>J39+H40-I40</x:f>
        <x:v>0</x:v>
      </x:c>
      <x:c r="K40" s="27" t="str"/>
    </x:row>
    <x:row r="41">
      <x:c r="A41" s="33"/>
      <x:c r="B41" s="36"/>
      <x:c r="C41" s="25" t="str"/>
      <x:c r="D41" s="25" t="str"/>
      <x:c r="E41" s="25" t="str"/>
      <x:c r="F41" s="25" t="str"/>
      <x:c r="G41" s="40"/>
      <x:c r="H41" s="41" t="n">
        <x:f>IF(C41="Ingreso",G41,0)</x:f>
        <x:v>0</x:v>
      </x:c>
      <x:c r="I41" s="41" t="n">
        <x:f>IF(C41="Egreso",G41,0)</x:f>
        <x:v>0</x:v>
      </x:c>
      <x:c r="J41" s="41" t="n">
        <x:f>J40+H41-I41</x:f>
        <x:v>0</x:v>
      </x:c>
      <x:c r="K41" s="27" t="str"/>
    </x:row>
    <x:row r="42">
      <x:c r="A42" s="33"/>
      <x:c r="B42" s="36"/>
      <x:c r="C42" s="25" t="str"/>
      <x:c r="D42" s="25" t="str"/>
      <x:c r="E42" s="25" t="str"/>
      <x:c r="F42" s="25" t="str"/>
      <x:c r="G42" s="40"/>
      <x:c r="H42" s="41" t="n">
        <x:f>IF(C42="Ingreso",G42,0)</x:f>
        <x:v>0</x:v>
      </x:c>
      <x:c r="I42" s="41" t="n">
        <x:f>IF(C42="Egreso",G42,0)</x:f>
        <x:v>0</x:v>
      </x:c>
      <x:c r="J42" s="41" t="n">
        <x:f>J41+H42-I42</x:f>
        <x:v>0</x:v>
      </x:c>
      <x:c r="K42" s="27" t="str"/>
    </x:row>
    <x:row r="43">
      <x:c r="A43" s="33"/>
      <x:c r="B43" s="36"/>
      <x:c r="C43" s="25" t="str"/>
      <x:c r="D43" s="25" t="str"/>
      <x:c r="E43" s="25" t="str"/>
      <x:c r="F43" s="25" t="str"/>
      <x:c r="G43" s="40"/>
      <x:c r="H43" s="41" t="n">
        <x:f>IF(C43="Ingreso",G43,0)</x:f>
        <x:v>0</x:v>
      </x:c>
      <x:c r="I43" s="41" t="n">
        <x:f>IF(C43="Egreso",G43,0)</x:f>
        <x:v>0</x:v>
      </x:c>
      <x:c r="J43" s="41" t="n">
        <x:f>J42+H43-I43</x:f>
        <x:v>0</x:v>
      </x:c>
      <x:c r="K43" s="27" t="str"/>
    </x:row>
    <x:row r="44">
      <x:c r="A44" s="33"/>
      <x:c r="B44" s="36"/>
      <x:c r="C44" s="25" t="str"/>
      <x:c r="D44" s="25" t="str"/>
      <x:c r="E44" s="25" t="str"/>
      <x:c r="F44" s="25" t="str"/>
      <x:c r="G44" s="40"/>
      <x:c r="H44" s="41" t="n">
        <x:f>IF(C44="Ingreso",G44,0)</x:f>
        <x:v>0</x:v>
      </x:c>
      <x:c r="I44" s="41" t="n">
        <x:f>IF(C44="Egreso",G44,0)</x:f>
        <x:v>0</x:v>
      </x:c>
      <x:c r="J44" s="41" t="n">
        <x:f>J43+H44-I44</x:f>
        <x:v>0</x:v>
      </x:c>
      <x:c r="K44" s="27" t="str"/>
    </x:row>
    <x:row r="45">
      <x:c r="A45" s="33"/>
      <x:c r="B45" s="36"/>
      <x:c r="C45" s="25" t="str"/>
      <x:c r="D45" s="25" t="str"/>
      <x:c r="E45" s="25" t="str"/>
      <x:c r="F45" s="25" t="str"/>
      <x:c r="G45" s="40"/>
      <x:c r="H45" s="41" t="n">
        <x:f>IF(C45="Ingreso",G45,0)</x:f>
        <x:v>0</x:v>
      </x:c>
      <x:c r="I45" s="41" t="n">
        <x:f>IF(C45="Egreso",G45,0)</x:f>
        <x:v>0</x:v>
      </x:c>
      <x:c r="J45" s="41" t="n">
        <x:f>J44+H45-I45</x:f>
        <x:v>0</x:v>
      </x:c>
      <x:c r="K45" s="27" t="str"/>
    </x:row>
    <x:row r="46">
      <x:c r="A46" s="33"/>
      <x:c r="B46" s="36"/>
      <x:c r="C46" s="25" t="str"/>
      <x:c r="D46" s="25" t="str"/>
      <x:c r="E46" s="25" t="str"/>
      <x:c r="F46" s="25" t="str"/>
      <x:c r="G46" s="40"/>
      <x:c r="H46" s="41" t="n">
        <x:f>IF(C46="Ingreso",G46,0)</x:f>
        <x:v>0</x:v>
      </x:c>
      <x:c r="I46" s="41" t="n">
        <x:f>IF(C46="Egreso",G46,0)</x:f>
        <x:v>0</x:v>
      </x:c>
      <x:c r="J46" s="41" t="n">
        <x:f>J45+H46-I46</x:f>
        <x:v>0</x:v>
      </x:c>
      <x:c r="K46" s="27" t="str"/>
    </x:row>
    <x:row r="47">
      <x:c r="A47" s="33"/>
      <x:c r="B47" s="36"/>
      <x:c r="C47" s="25" t="str"/>
      <x:c r="D47" s="25" t="str"/>
      <x:c r="E47" s="25" t="str"/>
      <x:c r="F47" s="25" t="str"/>
      <x:c r="G47" s="40"/>
      <x:c r="H47" s="41" t="n">
        <x:f>IF(C47="Ingreso",G47,0)</x:f>
        <x:v>0</x:v>
      </x:c>
      <x:c r="I47" s="41" t="n">
        <x:f>IF(C47="Egreso",G47,0)</x:f>
        <x:v>0</x:v>
      </x:c>
      <x:c r="J47" s="41" t="n">
        <x:f>J46+H47-I47</x:f>
        <x:v>0</x:v>
      </x:c>
      <x:c r="K47" s="27" t="str"/>
    </x:row>
    <x:row r="48">
      <x:c r="A48" s="33"/>
      <x:c r="B48" s="36"/>
      <x:c r="C48" s="25" t="str"/>
      <x:c r="D48" s="25" t="str"/>
      <x:c r="E48" s="25" t="str"/>
      <x:c r="F48" s="25" t="str"/>
      <x:c r="G48" s="40"/>
      <x:c r="H48" s="41" t="n">
        <x:f>IF(C48="Ingreso",G48,0)</x:f>
        <x:v>0</x:v>
      </x:c>
      <x:c r="I48" s="41" t="n">
        <x:f>IF(C48="Egreso",G48,0)</x:f>
        <x:v>0</x:v>
      </x:c>
      <x:c r="J48" s="41" t="n">
        <x:f>J47+H48-I48</x:f>
        <x:v>0</x:v>
      </x:c>
      <x:c r="K48" s="27" t="str"/>
    </x:row>
    <x:row r="49">
      <x:c r="A49" s="33"/>
      <x:c r="B49" s="36"/>
      <x:c r="C49" s="25" t="str"/>
      <x:c r="D49" s="25" t="str"/>
      <x:c r="E49" s="25" t="str"/>
      <x:c r="F49" s="25" t="str"/>
      <x:c r="G49" s="40"/>
      <x:c r="H49" s="41" t="n">
        <x:f>IF(C49="Ingreso",G49,0)</x:f>
        <x:v>0</x:v>
      </x:c>
      <x:c r="I49" s="41" t="n">
        <x:f>IF(C49="Egreso",G49,0)</x:f>
        <x:v>0</x:v>
      </x:c>
      <x:c r="J49" s="41" t="n">
        <x:f>J48+H49-I49</x:f>
        <x:v>0</x:v>
      </x:c>
      <x:c r="K49" s="27" t="str"/>
    </x:row>
    <x:row r="50">
      <x:c r="A50" s="33"/>
      <x:c r="B50" s="36"/>
      <x:c r="C50" s="25" t="str"/>
      <x:c r="D50" s="25" t="str"/>
      <x:c r="E50" s="25" t="str"/>
      <x:c r="F50" s="25" t="str"/>
      <x:c r="G50" s="40"/>
      <x:c r="H50" s="41" t="n">
        <x:f>IF(C50="Ingreso",G50,0)</x:f>
        <x:v>0</x:v>
      </x:c>
      <x:c r="I50" s="41" t="n">
        <x:f>IF(C50="Egreso",G50,0)</x:f>
        <x:v>0</x:v>
      </x:c>
      <x:c r="J50" s="41" t="n">
        <x:f>J49+H50-I50</x:f>
        <x:v>0</x:v>
      </x:c>
      <x:c r="K50" s="27" t="str"/>
    </x:row>
    <x:row r="51">
      <x:c r="A51" s="33"/>
      <x:c r="B51" s="36"/>
      <x:c r="C51" s="25" t="str"/>
      <x:c r="D51" s="25" t="str"/>
      <x:c r="E51" s="25" t="str"/>
      <x:c r="F51" s="25" t="str"/>
      <x:c r="G51" s="40"/>
      <x:c r="H51" s="41" t="n">
        <x:f>IF(C51="Ingreso",G51,0)</x:f>
        <x:v>0</x:v>
      </x:c>
      <x:c r="I51" s="41" t="n">
        <x:f>IF(C51="Egreso",G51,0)</x:f>
        <x:v>0</x:v>
      </x:c>
      <x:c r="J51" s="41" t="n">
        <x:f>J50+H51-I51</x:f>
        <x:v>0</x:v>
      </x:c>
      <x:c r="K51" s="27" t="str"/>
    </x:row>
    <x:row r="52">
      <x:c r="A52" s="33"/>
      <x:c r="B52" s="36"/>
      <x:c r="C52" s="25" t="str"/>
      <x:c r="D52" s="25" t="str"/>
      <x:c r="E52" s="25" t="str"/>
      <x:c r="F52" s="25" t="str"/>
      <x:c r="G52" s="40"/>
      <x:c r="H52" s="41" t="n">
        <x:f>IF(C52="Ingreso",G52,0)</x:f>
        <x:v>0</x:v>
      </x:c>
      <x:c r="I52" s="41" t="n">
        <x:f>IF(C52="Egreso",G52,0)</x:f>
        <x:v>0</x:v>
      </x:c>
      <x:c r="J52" s="41" t="n">
        <x:f>J51+H52-I52</x:f>
        <x:v>0</x:v>
      </x:c>
      <x:c r="K52" s="27" t="str"/>
    </x:row>
    <x:row r="53">
      <x:c r="A53" s="33"/>
      <x:c r="B53" s="36"/>
      <x:c r="C53" s="25" t="str"/>
      <x:c r="D53" s="25" t="str"/>
      <x:c r="E53" s="25" t="str"/>
      <x:c r="F53" s="25" t="str"/>
      <x:c r="G53" s="40"/>
      <x:c r="H53" s="41" t="n">
        <x:f>IF(C53="Ingreso",G53,0)</x:f>
        <x:v>0</x:v>
      </x:c>
      <x:c r="I53" s="41" t="n">
        <x:f>IF(C53="Egreso",G53,0)</x:f>
        <x:v>0</x:v>
      </x:c>
      <x:c r="J53" s="41" t="n">
        <x:f>J52+H53-I53</x:f>
        <x:v>0</x:v>
      </x:c>
      <x:c r="K53" s="27" t="str"/>
    </x:row>
    <x:row r="54">
      <x:c r="A54" s="33"/>
      <x:c r="B54" s="36"/>
      <x:c r="C54" s="25" t="str"/>
      <x:c r="D54" s="25" t="str"/>
      <x:c r="E54" s="25" t="str"/>
      <x:c r="F54" s="25" t="str"/>
      <x:c r="G54" s="40"/>
      <x:c r="H54" s="41" t="n">
        <x:f>IF(C54="Ingreso",G54,0)</x:f>
        <x:v>0</x:v>
      </x:c>
      <x:c r="I54" s="41" t="n">
        <x:f>IF(C54="Egreso",G54,0)</x:f>
        <x:v>0</x:v>
      </x:c>
      <x:c r="J54" s="41" t="n">
        <x:f>J53+H54-I54</x:f>
        <x:v>0</x:v>
      </x:c>
      <x:c r="K54" s="27" t="str"/>
    </x:row>
    <x:row r="55">
      <x:c r="A55" s="33"/>
      <x:c r="B55" s="36"/>
      <x:c r="C55" s="25" t="str"/>
      <x:c r="D55" s="25" t="str"/>
      <x:c r="E55" s="25" t="str"/>
      <x:c r="F55" s="25" t="str"/>
      <x:c r="G55" s="40"/>
      <x:c r="H55" s="41" t="n">
        <x:f>IF(C55="Ingreso",G55,0)</x:f>
        <x:v>0</x:v>
      </x:c>
      <x:c r="I55" s="41" t="n">
        <x:f>IF(C55="Egreso",G55,0)</x:f>
        <x:v>0</x:v>
      </x:c>
      <x:c r="J55" s="41" t="n">
        <x:f>J54+H55-I55</x:f>
        <x:v>0</x:v>
      </x:c>
      <x:c r="K55" s="27" t="str"/>
    </x:row>
    <x:row r="56">
      <x:c r="A56" s="33"/>
      <x:c r="B56" s="36"/>
      <x:c r="C56" s="25" t="str"/>
      <x:c r="D56" s="25" t="str"/>
      <x:c r="E56" s="25" t="str"/>
      <x:c r="F56" s="25" t="str"/>
      <x:c r="G56" s="40"/>
      <x:c r="H56" s="41" t="n">
        <x:f>IF(C56="Ingreso",G56,0)</x:f>
        <x:v>0</x:v>
      </x:c>
      <x:c r="I56" s="41" t="n">
        <x:f>IF(C56="Egreso",G56,0)</x:f>
        <x:v>0</x:v>
      </x:c>
      <x:c r="J56" s="41" t="n">
        <x:f>J55+H56-I56</x:f>
        <x:v>0</x:v>
      </x:c>
      <x:c r="K56" s="27" t="str"/>
    </x:row>
    <x:row r="57">
      <x:c r="A57" s="33"/>
      <x:c r="B57" s="36"/>
      <x:c r="C57" s="25" t="str"/>
      <x:c r="D57" s="25" t="str"/>
      <x:c r="E57" s="25" t="str"/>
      <x:c r="F57" s="25" t="str"/>
      <x:c r="G57" s="40"/>
      <x:c r="H57" s="41" t="n">
        <x:f>IF(C57="Ingreso",G57,0)</x:f>
        <x:v>0</x:v>
      </x:c>
      <x:c r="I57" s="41" t="n">
        <x:f>IF(C57="Egreso",G57,0)</x:f>
        <x:v>0</x:v>
      </x:c>
      <x:c r="J57" s="41" t="n">
        <x:f>J56+H57-I57</x:f>
        <x:v>0</x:v>
      </x:c>
      <x:c r="K57" s="27" t="str"/>
    </x:row>
    <x:row r="58">
      <x:c r="A58" s="34"/>
      <x:c r="B58" s="37"/>
      <x:c r="C58" s="29" t="str"/>
      <x:c r="D58" s="29" t="str"/>
      <x:c r="E58" s="29" t="str"/>
      <x:c r="F58" s="29" t="str"/>
      <x:c r="G58" s="42"/>
      <x:c r="H58" s="43" t="n">
        <x:f>IF(C58="Ingreso",G58,0)</x:f>
        <x:v>0</x:v>
      </x:c>
      <x:c r="I58" s="43" t="n">
        <x:f>IF(C58="Egreso",G58,0)</x:f>
        <x:v>0</x:v>
      </x:c>
      <x:c r="J58" s="43" t="n">
        <x:f>J57+H58-I58</x:f>
        <x:v>0</x:v>
      </x:c>
      <x:c r="K58" s="31" t="str"/>
    </x:row>
    <x:row r="60">
      <x:c r="A60" s="49" t="str">
        <x:v>Uso clínico: verifique los datos y siga el protocolo institucional. Esta plantilla apoya el cálculo; no sustituye la valoración ni el juicio profesional de enfermería.</x:v>
      </x:c>
      <x:c r="B60" s="49"/>
      <x:c r="C60" s="49"/>
      <x:c r="D60" s="49"/>
      <x:c r="E60" s="49"/>
      <x:c r="F60" s="49"/>
      <x:c r="G60" s="49"/>
      <x:c r="H60" s="49"/>
      <x:c r="I60" s="49"/>
      <x:c r="J60" s="49"/>
      <x:c r="K60" s="49"/>
    </x:row>
    <x:row r="61">
      <x:c r="A61" s="49"/>
      <x:c r="B61" s="49"/>
      <x:c r="C61" s="49"/>
      <x:c r="D61" s="49"/>
      <x:c r="E61" s="49"/>
      <x:c r="F61" s="49"/>
      <x:c r="G61" s="49"/>
      <x:c r="H61" s="49"/>
      <x:c r="I61" s="49"/>
      <x:c r="J61" s="49"/>
      <x:c r="K61" s="49"/>
    </x:row>
  </x:sheetData>
  <x:mergeCells>
    <x:mergeCell ref="A1:K1"/>
    <x:mergeCell ref="B7:F7"/>
    <x:mergeCell ref="A60:K61"/>
  </x:mergeCells>
  <x:dataValidations count="2">
    <x:dataValidation type="list" sqref="C11:C58">
      <x:formula1>"Ingreso,Egreso"</x:formula1>
    </x:dataValidation>
    <x:dataValidation type="list" sqref="D11:D58">
      <x:formula1>"Oral,Enteral,IV,Hemoderivado,Medicación,Diuresis,Drenaje,Vómito,Heces,Pérdida insensible,Otro"</x:formula1>
    </x:dataValidation>
  </x:dataValidations>
  <x:pageMargins left="0.7" right="0.7" top="0.75" bottom="0.75" header="0.3" footer="0.3"/>
  <x:legacyDrawing xmlns:r="http://schemas.openxmlformats.org/officeDocument/2006/relationships" r:id="R8a565f2cd97e4e02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2" hidden="0" customWidth="1"/>
    <x:col min="4" max="4" width="14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>
      <x:c r="A1" s="72" t="str">
        <x:v>CÁLCULOS AUDITABLES</x:v>
      </x:c>
      <x:c r="B1" s="72"/>
      <x:c r="C1" s="72"/>
      <x:c r="D1" s="72"/>
      <x:c r="E1" s="72"/>
      <x:c r="F1" s="72"/>
      <x:c r="G1" s="72"/>
      <x:c r="H1" s="72"/>
    </x:row>
    <x:row r="3">
      <x:c r="A3" s="15" t="str">
        <x:v>Indicador</x:v>
      </x:c>
      <x:c r="B3" s="15" t="str">
        <x:v>Resultado</x:v>
      </x:c>
      <x:c r="D3" s="55" t="str">
        <x:v>Franja</x:v>
      </x:c>
      <x:c r="E3" s="55" t="str">
        <x:v>Ingresos</x:v>
      </x:c>
      <x:c r="F3" s="55" t="str">
        <x:v>Egresos</x:v>
      </x:c>
      <x:c r="G3" s="55" t="str">
        <x:v>Balance</x:v>
      </x:c>
      <x:c r="H3" s="55" t="str">
        <x:v>Acumulado</x:v>
      </x:c>
    </x:row>
    <x:row r="4">
      <x:c r="A4" s="5" t="str">
        <x:v>Total ingresos</x:v>
      </x:c>
      <x:c r="B4" s="52" t="n">
        <x:f>SUM('Registro'!H11:H58)</x:f>
        <x:v>0</x:v>
      </x:c>
      <x:c r="D4" s="56" t="str">
        <x:v>07–10</x:v>
      </x:c>
      <x:c r="E4" s="65" t="n">
        <x:f>SUM('Registro'!H11:H18)</x:f>
        <x:v>0</x:v>
      </x:c>
      <x:c r="F4" s="65" t="n">
        <x:f>SUM('Registro'!I11:I18)</x:f>
        <x:v>0</x:v>
      </x:c>
      <x:c r="G4" s="65" t="n">
        <x:f>E4-F4</x:f>
        <x:v>0</x:v>
      </x:c>
      <x:c r="H4" s="66" t="n">
        <x:f>G4</x:f>
        <x:v>0</x:v>
      </x:c>
    </x:row>
    <x:row r="5">
      <x:c r="A5" s="5" t="str">
        <x:v>Total egresos</x:v>
      </x:c>
      <x:c r="B5" s="52" t="n">
        <x:f>SUM('Registro'!I11:I58)</x:f>
        <x:v>0</x:v>
      </x:c>
      <x:c r="D5" s="59" t="str">
        <x:v>11–14</x:v>
      </x:c>
      <x:c r="E5" s="67" t="n">
        <x:f>SUM('Registro'!H19:H26)</x:f>
        <x:v>0</x:v>
      </x:c>
      <x:c r="F5" s="67" t="n">
        <x:f>SUM('Registro'!I19:I26)</x:f>
        <x:v>0</x:v>
      </x:c>
      <x:c r="G5" s="67" t="n">
        <x:f>E5-F5</x:f>
        <x:v>0</x:v>
      </x:c>
      <x:c r="H5" s="68" t="n">
        <x:f>H4+G5</x:f>
        <x:v>0</x:v>
      </x:c>
    </x:row>
    <x:row r="6">
      <x:c r="A6" s="5" t="str">
        <x:v>Balance neto</x:v>
      </x:c>
      <x:c r="B6" s="52" t="n">
        <x:f>B4-B5</x:f>
        <x:v>0</x:v>
      </x:c>
      <x:c r="D6" s="59" t="str">
        <x:v>15–18</x:v>
      </x:c>
      <x:c r="E6" s="67" t="n">
        <x:f>SUM('Registro'!H27:H34)</x:f>
        <x:v>0</x:v>
      </x:c>
      <x:c r="F6" s="67" t="n">
        <x:f>SUM('Registro'!I27:I34)</x:f>
        <x:v>0</x:v>
      </x:c>
      <x:c r="G6" s="67" t="n">
        <x:f>E6-F6</x:f>
        <x:v>0</x:v>
      </x:c>
      <x:c r="H6" s="68" t="n">
        <x:f>H5+G6</x:f>
        <x:v>0</x:v>
      </x:c>
    </x:row>
    <x:row r="7">
      <x:c r="A7" s="5" t="str">
        <x:v>Diuresis total</x:v>
      </x:c>
      <x:c r="B7" s="52" t="n">
        <x:f>SUMIF('Registro'!D11:D58,"Diuresis",'Registro'!I11:I58)</x:f>
        <x:v>0</x:v>
      </x:c>
      <x:c r="D7" s="59" t="str">
        <x:v>19–22</x:v>
      </x:c>
      <x:c r="E7" s="67" t="n">
        <x:f>SUM('Registro'!H35:H42)</x:f>
        <x:v>0</x:v>
      </x:c>
      <x:c r="F7" s="67" t="n">
        <x:f>SUM('Registro'!I35:I42)</x:f>
        <x:v>0</x:v>
      </x:c>
      <x:c r="G7" s="67" t="n">
        <x:f>E7-F7</x:f>
        <x:v>0</x:v>
      </x:c>
      <x:c r="H7" s="68" t="n">
        <x:f>H6+G7</x:f>
        <x:v>0</x:v>
      </x:c>
    </x:row>
    <x:row r="8">
      <x:c r="A8" s="5" t="str">
        <x:v>Duración registrada (h)</x:v>
      </x:c>
      <x:c r="B8" s="51" t="n">
        <x:f>24</x:f>
        <x:v>24</x:v>
      </x:c>
      <x:c r="D8" s="59" t="str">
        <x:v>23–02</x:v>
      </x:c>
      <x:c r="E8" s="67" t="n">
        <x:f>SUM('Registro'!H43:H50)</x:f>
        <x:v>0</x:v>
      </x:c>
      <x:c r="F8" s="67" t="n">
        <x:f>SUM('Registro'!I43:I50)</x:f>
        <x:v>0</x:v>
      </x:c>
      <x:c r="G8" s="67" t="n">
        <x:f>E8-F8</x:f>
        <x:v>0</x:v>
      </x:c>
      <x:c r="H8" s="68" t="n">
        <x:f>H7+G8</x:f>
        <x:v>0</x:v>
      </x:c>
    </x:row>
    <x:row r="9">
      <x:c r="A9" s="5" t="str">
        <x:v>Peso (kg)</x:v>
      </x:c>
      <x:c r="B9" s="53" t="str">
        <x:f>'Registro'!B5</x:f>
      </x:c>
      <x:c r="D9" s="62" t="str">
        <x:v>03–06</x:v>
      </x:c>
      <x:c r="E9" s="69" t="n">
        <x:f>SUM('Registro'!H51:H58)</x:f>
        <x:v>0</x:v>
      </x:c>
      <x:c r="F9" s="69" t="n">
        <x:f>SUM('Registro'!I51:I58)</x:f>
        <x:v>0</x:v>
      </x:c>
      <x:c r="G9" s="69" t="n">
        <x:f>E9-F9</x:f>
        <x:v>0</x:v>
      </x:c>
      <x:c r="H9" s="70" t="n">
        <x:f>H8+G9</x:f>
        <x:v>0</x:v>
      </x:c>
    </x:row>
    <x:row r="10">
      <x:c r="A10" s="5" t="str">
        <x:v>Diuresis (mL/kg/h)</x:v>
      </x:c>
      <x:c r="B10" s="54" t="n">
        <x:f>IF(B9&gt;0,B7/B9/B8,0)</x:f>
        <x:v>0</x:v>
      </x:c>
    </x:row>
    <x:row r="11">
      <x:c r="A11" s="5" t="str">
        <x:v>Registros completos</x:v>
      </x:c>
      <x:c r="B11" s="51" t="n">
        <x:f>COUNT('Registro'!G11:G58)</x:f>
        <x:v>0</x:v>
      </x:c>
    </x:row>
    <x:row r="12">
      <x:c r="A12" s="5" t="str">
        <x:v>Control de consistencia</x:v>
      </x:c>
      <x:c r="B12" s="51" t="str">
        <x:f>IF(B4-B5=B6,"OK","REVISAR")</x:f>
        <x:v>OK</x:v>
      </x:c>
    </x:row>
  </x:sheetData>
  <x:mergeCells>
    <x:mergeCell ref="A1:H1"/>
  </x:mergeCells>
  <x:pageMargins left="0.7" right="0.7" top="0.75" bottom="0.75" header="0.3" footer="0.3"/>
  <x:legacyDrawing xmlns:r="http://schemas.openxmlformats.org/officeDocument/2006/relationships" r:id="R92e8c463f791404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>
      <x:c r="A1" s="115" t="str">
        <x:v>PANEL DE BALANCE HÍDRICO</x:v>
      </x:c>
      <x:c r="B1" s="115"/>
      <x:c r="C1" s="115"/>
      <x:c r="D1" s="115"/>
      <x:c r="E1" s="115"/>
      <x:c r="F1" s="115"/>
      <x:c r="G1" s="115"/>
      <x:c r="H1" s="115"/>
      <x:c r="I1" s="115"/>
      <x:c r="J1" s="115"/>
      <x:c r="K1" s="115"/>
      <x:c r="L1" s="115"/>
    </x:row>
    <x:row r="3">
      <x:c r="A3" s="93" t="str">
        <x:v>INGRESOS</x:v>
      </x:c>
      <x:c r="B3" s="94"/>
      <x:c r="C3" s="95"/>
      <x:c r="D3" s="93" t="str">
        <x:v>EGRESOS</x:v>
      </x:c>
      <x:c r="E3" s="94"/>
      <x:c r="F3" s="95"/>
      <x:c r="G3" s="93" t="str">
        <x:v>BALANCE NETO</x:v>
      </x:c>
      <x:c r="H3" s="94"/>
      <x:c r="I3" s="95"/>
      <x:c r="J3" s="93" t="str">
        <x:v>DIURESIS</x:v>
      </x:c>
      <x:c r="K3" s="94"/>
      <x:c r="L3" s="95"/>
    </x:row>
    <x:row r="4">
      <x:c r="A4" s="105" t="n">
        <x:f>'Calculos'!B4</x:f>
        <x:v>0</x:v>
      </x:c>
      <x:c r="B4" s="106"/>
      <x:c r="C4" s="107"/>
      <x:c r="D4" s="105" t="n">
        <x:f>'Calculos'!B5</x:f>
        <x:v>0</x:v>
      </x:c>
      <x:c r="E4" s="106"/>
      <x:c r="F4" s="107"/>
      <x:c r="G4" s="105" t="n">
        <x:f>'Calculos'!B6</x:f>
        <x:v>0</x:v>
      </x:c>
      <x:c r="H4" s="106"/>
      <x:c r="I4" s="107"/>
      <x:c r="J4" s="108" t="n">
        <x:f>'Calculos'!B10</x:f>
        <x:v>0</x:v>
      </x:c>
      <x:c r="K4" s="109"/>
      <x:c r="L4" s="110"/>
    </x:row>
    <x:row r="5">
      <x:c r="A5" s="96" t="str">
        <x:v>Total administrado</x:v>
      </x:c>
      <x:c r="B5" s="97"/>
      <x:c r="C5" s="98"/>
      <x:c r="D5" s="96" t="str">
        <x:v>Total eliminado</x:v>
      </x:c>
      <x:c r="E5" s="97"/>
      <x:c r="F5" s="98"/>
      <x:c r="G5" s="96" t="str">
        <x:v>Ingresos − egresos</x:v>
      </x:c>
      <x:c r="H5" s="97"/>
      <x:c r="I5" s="98"/>
      <x:c r="J5" s="96" t="str">
        <x:v>Indicador calculado</x:v>
      </x:c>
      <x:c r="K5" s="97"/>
      <x:c r="L5" s="98"/>
    </x:row>
    <x:row r="6">
      <x:c r="A6" s="99" t="str">
        <x:v>mL / 24 h</x:v>
      </x:c>
      <x:c r="B6" s="100"/>
      <x:c r="C6" s="101"/>
      <x:c r="D6" s="99" t="str">
        <x:v>mL / 24 h</x:v>
      </x:c>
      <x:c r="E6" s="100"/>
      <x:c r="F6" s="101"/>
      <x:c r="G6" s="99" t="str">
        <x:v>mL / 24 h</x:v>
      </x:c>
      <x:c r="H6" s="100"/>
      <x:c r="I6" s="101"/>
      <x:c r="J6" s="99" t="str">
        <x:v>mL/kg/h</x:v>
      </x:c>
      <x:c r="K6" s="100"/>
      <x:c r="L6" s="101"/>
    </x:row>
    <x:row r="8">
      <x:c r="A8" s="15" t="str">
        <x:v>Interpretación orientativa</x:v>
      </x:c>
      <x:c r="B8" s="15"/>
      <x:c r="C8" s="15"/>
      <x:c r="D8" s="15"/>
      <x:c r="E8" s="15"/>
      <x:c r="F8" s="15"/>
      <x:c r="G8" s="15" t="str">
        <x:v>Semáforo de revisión</x:v>
      </x:c>
      <x:c r="H8" s="15"/>
      <x:c r="I8" s="15"/>
      <x:c r="J8" s="15"/>
      <x:c r="K8" s="15"/>
      <x:c r="L8" s="15"/>
    </x:row>
    <x:row r="9">
      <x:c r="A9" s="113" t="str">
        <x:f>IF('Calculos'!B6&gt;0,"Balance positivo: los ingresos superan los egresos. Correlacionar con la evaluación clínica.",IF('Calculos'!B6&lt;0,"Balance negativo: los egresos superan los ingresos. Correlacionar con la evaluación clínica.","Balance neutro: ingresos y egresos equivalentes."))</x:f>
        <x:v>Balance neutro: ingresos y egresos equivalentes.</x:v>
      </x:c>
      <x:c r="B9" s="113"/>
      <x:c r="C9" s="113"/>
      <x:c r="D9" s="113"/>
      <x:c r="E9" s="113"/>
      <x:c r="F9" s="113"/>
      <x:c r="G9" s="114" t="str">
        <x:f>'Calculos'!B12</x:f>
        <x:v>OK</x:v>
      </x:c>
      <x:c r="H9" s="114"/>
      <x:c r="I9" s="114"/>
      <x:c r="J9" s="114"/>
      <x:c r="K9" s="114"/>
      <x:c r="L9" s="114"/>
    </x:row>
    <x:row r="10">
      <x:c r="A10" s="113" t="str">
        <x:v>Revise tendencia, contexto clínico, peso, pérdidas y prescripción.</x:v>
      </x:c>
      <x:c r="B10" s="113"/>
      <x:c r="C10" s="113"/>
      <x:c r="D10" s="113"/>
      <x:c r="E10" s="113"/>
      <x:c r="F10" s="113"/>
      <x:c r="G10" s="114"/>
      <x:c r="H10" s="114"/>
      <x:c r="I10" s="114"/>
      <x:c r="J10" s="114"/>
      <x:c r="K10" s="114"/>
      <x:c r="L10" s="114"/>
    </x:row>
    <x:row r="11">
      <x:c r="A11" s="113" t="str">
        <x:v>Un balance aislado no determina por sí solo el estado de volumen.</x:v>
      </x:c>
      <x:c r="B11" s="113"/>
      <x:c r="C11" s="113"/>
      <x:c r="D11" s="113"/>
      <x:c r="E11" s="113"/>
      <x:c r="F11" s="113"/>
      <x:c r="G11" s="114" t="n">
        <x:f>'Calculos'!B11</x:f>
        <x:v>0</x:v>
      </x:c>
      <x:c r="H11" s="114"/>
      <x:c r="I11" s="114"/>
      <x:c r="J11" s="114"/>
      <x:c r="K11" s="114"/>
      <x:c r="L11" s="114"/>
    </x:row>
    <x:row r="12">
      <x:c r="A12" s="113" t="str">
        <x:v>Alerta documental</x:v>
      </x:c>
      <x:c r="B12" s="113"/>
      <x:c r="C12" s="113"/>
      <x:c r="D12" s="113"/>
      <x:c r="E12" s="113"/>
      <x:c r="F12" s="113"/>
      <x:c r="G12" s="114"/>
      <x:c r="H12" s="114"/>
      <x:c r="I12" s="114"/>
      <x:c r="J12" s="114"/>
      <x:c r="K12" s="114"/>
      <x:c r="L12" s="114"/>
    </x:row>
    <x:row r="13">
      <x:c r="A13" s="113" t="str">
        <x:v>Confirme hora, vía, categoría y unidad de cada registro.</x:v>
      </x:c>
      <x:c r="B13" s="113"/>
      <x:c r="C13" s="113"/>
      <x:c r="D13" s="113"/>
      <x:c r="E13" s="113"/>
      <x:c r="F13" s="113"/>
      <x:c r="G13" s="114" t="str">
        <x:v>Leyenda</x:v>
      </x:c>
      <x:c r="H13" s="114"/>
      <x:c r="I13" s="114"/>
      <x:c r="J13" s="114"/>
      <x:c r="K13" s="114"/>
      <x:c r="L13" s="114"/>
    </x:row>
    <x:row r="14">
      <x:c r="A14" s="113"/>
      <x:c r="B14" s="113"/>
      <x:c r="C14" s="113"/>
      <x:c r="D14" s="113"/>
      <x:c r="E14" s="113"/>
      <x:c r="F14" s="113"/>
      <x:c r="G14" s="114" t="str">
        <x:v>Verde: consistente · Naranja: revisar · Rojo: dato faltante</x:v>
      </x:c>
      <x:c r="H14" s="114"/>
      <x:c r="I14" s="114"/>
      <x:c r="J14" s="114"/>
      <x:c r="K14" s="114"/>
      <x:c r="L14" s="114"/>
    </x:row>
    <x:row r="15">
      <x:c r="A15"/>
      <x:c r="B15"/>
      <x:c r="C15"/>
      <x:c r="D15"/>
      <x:c r="E15"/>
      <x:c r="F15"/>
      <x:c r="G15"/>
      <x:c r="H15"/>
      <x:c r="I15"/>
      <x:c r="J15"/>
      <x:c r="K15"/>
      <x:c r="L15"/>
    </x:row>
  </x:sheetData>
  <x:mergeCells>
    <x:mergeCell ref="A1:L1"/>
    <x:mergeCell ref="A3:C3"/>
    <x:mergeCell ref="D3:F3"/>
    <x:mergeCell ref="G3:I3"/>
    <x:mergeCell ref="J3:L3"/>
    <x:mergeCell ref="A4:C4"/>
    <x:mergeCell ref="D4:F4"/>
    <x:mergeCell ref="G4:I4"/>
    <x:mergeCell ref="J4:L4"/>
    <x:mergeCell ref="A5:C5"/>
    <x:mergeCell ref="D5:F5"/>
    <x:mergeCell ref="G5:I5"/>
    <x:mergeCell ref="J5:L5"/>
    <x:mergeCell ref="A6:C6"/>
    <x:mergeCell ref="D6:F6"/>
    <x:mergeCell ref="G6:I6"/>
    <x:mergeCell ref="J6:L6"/>
    <x:mergeCell ref="A8:F8"/>
    <x:mergeCell ref="A9:F9"/>
    <x:mergeCell ref="A10:F10"/>
    <x:mergeCell ref="A11:F11"/>
    <x:mergeCell ref="A12:F12"/>
    <x:mergeCell ref="A13:F13"/>
    <x:mergeCell ref="A14:F14"/>
    <x:mergeCell ref="G8:L8"/>
    <x:mergeCell ref="G9:L9"/>
    <x:mergeCell ref="G10:L10"/>
    <x:mergeCell ref="G11:L11"/>
    <x:mergeCell ref="G12:L12"/>
    <x:mergeCell ref="G13:L13"/>
    <x:mergeCell ref="G14:L14"/>
  </x:mergeCells>
  <x:conditionalFormatting sqref="G9:L9">
    <x:cfRule type="expression" dxfId="0" priority="1">
      <x:formula>G9="OK"</x:formula>
    </x:cfRule>
    <x:cfRule type="expression" dxfId="1" priority="2">
      <x:formula>G9="REVISAR"</x:formula>
    </x:cfRule>
  </x:conditionalFormatting>
  <x:conditionalFormatting sqref="G11:L11">
    <x:cfRule type="expression" dxfId="2" priority="3">
      <x:formula>G11=0</x:formula>
    </x:cfRule>
  </x:conditionalFormatting>
  <x:pageMargins left="0.7" right="0.7" top="0.75" bottom="0.75" header="0.3" footer="0.3"/>
  <x:drawing xmlns:r="http://schemas.openxmlformats.org/officeDocument/2006/relationships" r:id="R65eea91b959f488f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3" t="str">
        <x:v>GUÍA RÁPIDA · QUICK GUIDE · 快速指南 · GUIA RÁPIDO</x:v>
      </x:c>
      <x:c r="B1" s="3"/>
      <x:c r="C1" s="3"/>
      <x:c r="D1" s="3"/>
      <x:c r="E1" s="3"/>
      <x:c r="F1" s="3"/>
      <x:c r="G1" s="3"/>
      <x:c r="H1" s="3"/>
    </x:row>
    <x:row r="3">
      <x:c r="A3" s="15" t="str">
        <x:v>ESPAÑOL</x:v>
      </x:c>
      <x:c r="B3" s="15" t="str"/>
      <x:c r="C3" s="15" t="str"/>
      <x:c r="D3" s="15" t="str"/>
      <x:c r="E3" s="15" t="str"/>
      <x:c r="F3" s="15" t="str"/>
      <x:c r="G3" s="15" t="str"/>
      <x:c r="H3" s="15" t="str"/>
    </x:row>
    <x:row r="4">
      <x:c r="A4" s="118" t="str">
        <x:v>1. Complete los datos del paciente en celdas amarillas.</x:v>
      </x:c>
      <x:c r="B4" s="118" t="str"/>
      <x:c r="C4" s="118" t="str"/>
      <x:c r="D4" s="118" t="str"/>
      <x:c r="E4" s="118" t="str"/>
      <x:c r="F4" s="118" t="str"/>
      <x:c r="G4" s="118" t="str"/>
      <x:c r="H4" s="118" t="str"/>
    </x:row>
    <x:row r="5">
      <x:c r="A5" s="118" t="str">
        <x:v>2. Registre cada ingreso o egreso en una fila, siempre en mL.</x:v>
      </x:c>
      <x:c r="B5" s="118" t="str"/>
      <x:c r="C5" s="118" t="str"/>
      <x:c r="D5" s="118" t="str"/>
      <x:c r="E5" s="118" t="str"/>
      <x:c r="F5" s="118" t="str"/>
      <x:c r="G5" s="118" t="str"/>
      <x:c r="H5" s="118" t="str"/>
    </x:row>
    <x:row r="6">
      <x:c r="A6" s="118" t="str">
        <x:v>3. No modifique las columnas azules: contienen fórmulas.</x:v>
      </x:c>
      <x:c r="B6" s="118" t="str"/>
      <x:c r="C6" s="118" t="str"/>
      <x:c r="D6" s="118" t="str"/>
      <x:c r="E6" s="118" t="str"/>
      <x:c r="F6" s="118" t="str"/>
      <x:c r="G6" s="118" t="str"/>
      <x:c r="H6" s="118" t="str"/>
    </x:row>
    <x:row r="7">
      <x:c r="A7" s="119" t="str">
        <x:v>ENGLISH</x:v>
      </x:c>
      <x:c r="B7" s="119" t="str"/>
      <x:c r="C7" s="119" t="str"/>
      <x:c r="D7" s="119" t="str"/>
      <x:c r="E7" s="119" t="str"/>
      <x:c r="F7" s="119" t="str"/>
      <x:c r="G7" s="119" t="str"/>
      <x:c r="H7" s="119" t="str"/>
    </x:row>
    <x:row r="8">
      <x:c r="A8" s="118" t="str">
        <x:v>1. Complete patient details in yellow cells.</x:v>
      </x:c>
      <x:c r="B8" s="118" t="str"/>
      <x:c r="C8" s="118" t="str"/>
      <x:c r="D8" s="118" t="str"/>
      <x:c r="E8" s="118" t="str"/>
      <x:c r="F8" s="118" t="str"/>
      <x:c r="G8" s="118" t="str"/>
      <x:c r="H8" s="118" t="str"/>
    </x:row>
    <x:row r="9">
      <x:c r="A9" s="118" t="str">
        <x:v>2. Record each intake or output on one row, always in mL.</x:v>
      </x:c>
      <x:c r="B9" s="118" t="str"/>
      <x:c r="C9" s="118" t="str"/>
      <x:c r="D9" s="118" t="str"/>
      <x:c r="E9" s="118" t="str"/>
      <x:c r="F9" s="118" t="str"/>
      <x:c r="G9" s="118" t="str"/>
      <x:c r="H9" s="118" t="str"/>
    </x:row>
    <x:row r="10">
      <x:c r="A10" s="119" t="str">
        <x:v>简体中文</x:v>
      </x:c>
      <x:c r="B10" s="119" t="str"/>
      <x:c r="C10" s="119" t="str"/>
      <x:c r="D10" s="119" t="str"/>
      <x:c r="E10" s="119" t="str"/>
      <x:c r="F10" s="119" t="str"/>
      <x:c r="G10" s="119" t="str"/>
      <x:c r="H10" s="119" t="str"/>
    </x:row>
    <x:row r="11">
      <x:c r="A11" s="118" t="str">
        <x:v>1. 在黄色单元格中填写患者资料。</x:v>
      </x:c>
      <x:c r="B11" s="118" t="str"/>
      <x:c r="C11" s="118" t="str"/>
      <x:c r="D11" s="118" t="str"/>
      <x:c r="E11" s="118" t="str"/>
      <x:c r="F11" s="118" t="str"/>
      <x:c r="G11" s="118" t="str"/>
      <x:c r="H11" s="118" t="str"/>
    </x:row>
    <x:row r="12">
      <x:c r="A12" s="118" t="str">
        <x:v>2. 每行记录一次液体摄入或排出，统一使用 mL。</x:v>
      </x:c>
      <x:c r="B12" s="118" t="str"/>
      <x:c r="C12" s="118" t="str"/>
      <x:c r="D12" s="118" t="str"/>
      <x:c r="E12" s="118" t="str"/>
      <x:c r="F12" s="118" t="str"/>
      <x:c r="G12" s="118" t="str"/>
      <x:c r="H12" s="118" t="str"/>
    </x:row>
    <x:row r="13">
      <x:c r="A13" s="119" t="str">
        <x:v>PORTUGUÊS</x:v>
      </x:c>
      <x:c r="B13" s="119" t="str"/>
      <x:c r="C13" s="119" t="str"/>
      <x:c r="D13" s="119" t="str"/>
      <x:c r="E13" s="119" t="str"/>
      <x:c r="F13" s="119" t="str"/>
      <x:c r="G13" s="119" t="str"/>
      <x:c r="H13" s="119" t="str"/>
    </x:row>
    <x:row r="14">
      <x:c r="A14" s="118" t="str">
        <x:v>1. Preencha os dados do paciente nas células amarelas.</x:v>
      </x:c>
      <x:c r="B14" s="118" t="str"/>
      <x:c r="C14" s="118" t="str"/>
      <x:c r="D14" s="118" t="str"/>
      <x:c r="E14" s="118" t="str"/>
      <x:c r="F14" s="118" t="str"/>
      <x:c r="G14" s="118" t="str"/>
      <x:c r="H14" s="118" t="str"/>
    </x:row>
    <x:row r="15">
      <x:c r="A15" s="118" t="str">
        <x:v>2. Registre cada entrada ou saída em uma linha, sempre em mL.</x:v>
      </x:c>
      <x:c r="B15" s="118" t="str"/>
      <x:c r="C15" s="118" t="str"/>
      <x:c r="D15" s="118" t="str"/>
      <x:c r="E15" s="118" t="str"/>
      <x:c r="F15" s="118" t="str"/>
      <x:c r="G15" s="118" t="str"/>
      <x:c r="H15" s="118" t="str"/>
    </x:row>
    <x:row r="16">
      <x:c r="A16" s="118"/>
      <x:c r="B16" s="118"/>
      <x:c r="C16" s="118"/>
      <x:c r="D16" s="118"/>
      <x:c r="E16" s="118"/>
      <x:c r="F16" s="118"/>
      <x:c r="G16" s="118"/>
      <x:c r="H16" s="118"/>
    </x:row>
    <x:row r="18">
      <x:c r="A18" s="123" t="str">
        <x:v>Seguridad / Safety / 安全 / Segurança
Verifique siempre los datos originales y aplique el protocolo de su institución. Esta herramienta no sustituye la valoración ni el juicio clínico.</x:v>
      </x:c>
      <x:c r="B18" s="123"/>
      <x:c r="C18" s="123"/>
      <x:c r="D18" s="123"/>
      <x:c r="E18" s="123"/>
      <x:c r="F18" s="123"/>
      <x:c r="G18" s="123"/>
      <x:c r="H18" s="123"/>
    </x:row>
    <x:row r="19">
      <x:c r="A19" s="123"/>
      <x:c r="B19" s="123"/>
      <x:c r="C19" s="123"/>
      <x:c r="D19" s="123"/>
      <x:c r="E19" s="123"/>
      <x:c r="F19" s="123"/>
      <x:c r="G19" s="123"/>
      <x:c r="H19" s="123"/>
    </x:row>
    <x:row r="20">
      <x:c r="A20" s="123"/>
      <x:c r="B20" s="123"/>
      <x:c r="C20" s="123"/>
      <x:c r="D20" s="123"/>
      <x:c r="E20" s="123"/>
      <x:c r="F20" s="123"/>
      <x:c r="G20" s="123"/>
      <x:c r="H20" s="123"/>
    </x:row>
    <x:row r="21">
      <x:c r="A21" s="123"/>
      <x:c r="B21" s="123"/>
      <x:c r="C21" s="123"/>
      <x:c r="D21" s="123"/>
      <x:c r="E21" s="123"/>
      <x:c r="F21" s="123"/>
      <x:c r="G21" s="123"/>
      <x:c r="H21" s="123"/>
    </x:row>
  </x:sheetData>
  <x:mergeCells>
    <x:mergeCell ref="A1:H1"/>
    <x:mergeCell ref="A3:H3"/>
    <x:mergeCell ref="A4:H4"/>
    <x:mergeCell ref="A5:H5"/>
    <x:mergeCell ref="A6:H6"/>
    <x:mergeCell ref="A7:H7"/>
    <x:mergeCell ref="A8:H8"/>
    <x:mergeCell ref="A9:H9"/>
    <x:mergeCell ref="A10:H10"/>
    <x:mergeCell ref="A11:H11"/>
    <x:mergeCell ref="A12:H12"/>
    <x:mergeCell ref="A13:H13"/>
    <x:mergeCell ref="A14:H14"/>
    <x:mergeCell ref="A15:H15"/>
    <x:mergeCell ref="A16:H16"/>
    <x:mergeCell ref="A18:H2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2" hidden="0" customWidth="1"/>
    <x:col min="7" max="7" width="32" hidden="0" customWidth="1"/>
  </x:cols>
  <x:sheetData>
    <x:row r="1">
      <x:c r="A1" s="3" t="str">
        <x:v>BALANCE HÍDRICO ACUMULADO · HOSPITALIZACIÓN</x:v>
      </x:c>
      <x:c r="B1" s="3"/>
      <x:c r="C1" s="3"/>
      <x:c r="D1" s="3"/>
      <x:c r="E1" s="3"/>
      <x:c r="F1" s="3"/>
      <x:c r="G1" s="3"/>
    </x:row>
    <x:row r="3">
      <x:c r="A3" s="126" t="str">
        <x:v>Registre o pegue un resumen por día. El balance diario es ingresos − egresos; el acumulado suma los balances desde el primer día de hospitalización.</x:v>
      </x:c>
      <x:c r="B3" s="126"/>
      <x:c r="C3" s="126"/>
      <x:c r="D3" s="126"/>
      <x:c r="E3" s="126"/>
      <x:c r="F3" s="126"/>
      <x:c r="G3" s="126"/>
    </x:row>
    <x:row r="4">
      <x:c r="A4" s="126"/>
      <x:c r="B4" s="126"/>
      <x:c r="C4" s="126"/>
      <x:c r="D4" s="126"/>
      <x:c r="E4" s="126"/>
      <x:c r="F4" s="126"/>
      <x:c r="G4" s="126"/>
    </x:row>
    <x:row r="6">
      <x:c r="A6" s="17" t="str">
        <x:v>Fecha</x:v>
      </x:c>
      <x:c r="B6" s="17" t="str">
        <x:v>Ingresos (mL)</x:v>
      </x:c>
      <x:c r="C6" s="17" t="str">
        <x:v>Egresos (mL)</x:v>
      </x:c>
      <x:c r="D6" s="17" t="str">
        <x:v>Balance diario (mL)</x:v>
      </x:c>
      <x:c r="E6" s="17" t="str">
        <x:v>BH acumulado (mL)</x:v>
      </x:c>
      <x:c r="F6" s="17" t="str">
        <x:v>Diuresis (mL/kg/h)</x:v>
      </x:c>
      <x:c r="G6" s="17" t="str">
        <x:v>Observaciones</x:v>
      </x:c>
    </x:row>
    <x:row r="7">
      <x:c r="A7" s="32"/>
      <x:c r="B7" s="38"/>
      <x:c r="C7" s="38"/>
      <x:c r="D7" s="39" t="n">
        <x:f>B7-C7</x:f>
        <x:v>0</x:v>
      </x:c>
      <x:c r="E7" s="39" t="n">
        <x:f>D7</x:f>
        <x:v>0</x:v>
      </x:c>
      <x:c r="F7" s="127"/>
      <x:c r="G7" s="23"/>
    </x:row>
    <x:row r="8">
      <x:c r="A8" s="33"/>
      <x:c r="B8" s="40"/>
      <x:c r="C8" s="40"/>
      <x:c r="D8" s="41" t="n">
        <x:f>B8-C8</x:f>
        <x:v>0</x:v>
      </x:c>
      <x:c r="E8" s="41" t="n">
        <x:f>E7+D8</x:f>
        <x:v>0</x:v>
      </x:c>
      <x:c r="F8" s="128"/>
      <x:c r="G8" s="27"/>
    </x:row>
    <x:row r="9">
      <x:c r="A9" s="33"/>
      <x:c r="B9" s="40"/>
      <x:c r="C9" s="40"/>
      <x:c r="D9" s="41" t="n">
        <x:f>B9-C9</x:f>
        <x:v>0</x:v>
      </x:c>
      <x:c r="E9" s="41" t="n">
        <x:f>E8+D9</x:f>
        <x:v>0</x:v>
      </x:c>
      <x:c r="F9" s="128"/>
      <x:c r="G9" s="27"/>
    </x:row>
    <x:row r="10">
      <x:c r="A10" s="33"/>
      <x:c r="B10" s="40"/>
      <x:c r="C10" s="40"/>
      <x:c r="D10" s="41" t="n">
        <x:f>B10-C10</x:f>
        <x:v>0</x:v>
      </x:c>
      <x:c r="E10" s="41" t="n">
        <x:f>E9+D10</x:f>
        <x:v>0</x:v>
      </x:c>
      <x:c r="F10" s="128"/>
      <x:c r="G10" s="27"/>
    </x:row>
    <x:row r="11">
      <x:c r="A11" s="33"/>
      <x:c r="B11" s="40"/>
      <x:c r="C11" s="40"/>
      <x:c r="D11" s="41" t="n">
        <x:f>B11-C11</x:f>
        <x:v>0</x:v>
      </x:c>
      <x:c r="E11" s="41" t="n">
        <x:f>E10+D11</x:f>
        <x:v>0</x:v>
      </x:c>
      <x:c r="F11" s="128"/>
      <x:c r="G11" s="27"/>
    </x:row>
    <x:row r="12">
      <x:c r="A12" s="33"/>
      <x:c r="B12" s="40"/>
      <x:c r="C12" s="40"/>
      <x:c r="D12" s="41" t="n">
        <x:f>B12-C12</x:f>
        <x:v>0</x:v>
      </x:c>
      <x:c r="E12" s="41" t="n">
        <x:f>E11+D12</x:f>
        <x:v>0</x:v>
      </x:c>
      <x:c r="F12" s="128"/>
      <x:c r="G12" s="27"/>
    </x:row>
    <x:row r="13">
      <x:c r="A13" s="33"/>
      <x:c r="B13" s="40"/>
      <x:c r="C13" s="40"/>
      <x:c r="D13" s="41" t="n">
        <x:f>B13-C13</x:f>
        <x:v>0</x:v>
      </x:c>
      <x:c r="E13" s="41" t="n">
        <x:f>E12+D13</x:f>
        <x:v>0</x:v>
      </x:c>
      <x:c r="F13" s="128"/>
      <x:c r="G13" s="27"/>
    </x:row>
    <x:row r="14">
      <x:c r="A14" s="33"/>
      <x:c r="B14" s="40"/>
      <x:c r="C14" s="40"/>
      <x:c r="D14" s="41" t="n">
        <x:f>B14-C14</x:f>
        <x:v>0</x:v>
      </x:c>
      <x:c r="E14" s="41" t="n">
        <x:f>E13+D14</x:f>
        <x:v>0</x:v>
      </x:c>
      <x:c r="F14" s="128"/>
      <x:c r="G14" s="27"/>
    </x:row>
    <x:row r="15">
      <x:c r="A15" s="33"/>
      <x:c r="B15" s="40"/>
      <x:c r="C15" s="40"/>
      <x:c r="D15" s="41" t="n">
        <x:f>B15-C15</x:f>
        <x:v>0</x:v>
      </x:c>
      <x:c r="E15" s="41" t="n">
        <x:f>E14+D15</x:f>
        <x:v>0</x:v>
      </x:c>
      <x:c r="F15" s="128"/>
      <x:c r="G15" s="27"/>
    </x:row>
    <x:row r="16">
      <x:c r="A16" s="33"/>
      <x:c r="B16" s="40"/>
      <x:c r="C16" s="40"/>
      <x:c r="D16" s="41" t="n">
        <x:f>B16-C16</x:f>
        <x:v>0</x:v>
      </x:c>
      <x:c r="E16" s="41" t="n">
        <x:f>E15+D16</x:f>
        <x:v>0</x:v>
      </x:c>
      <x:c r="F16" s="128"/>
      <x:c r="G16" s="27"/>
    </x:row>
    <x:row r="17">
      <x:c r="A17" s="33"/>
      <x:c r="B17" s="40"/>
      <x:c r="C17" s="40"/>
      <x:c r="D17" s="41" t="n">
        <x:f>B17-C17</x:f>
        <x:v>0</x:v>
      </x:c>
      <x:c r="E17" s="41" t="n">
        <x:f>E16+D17</x:f>
        <x:v>0</x:v>
      </x:c>
      <x:c r="F17" s="128"/>
      <x:c r="G17" s="27"/>
    </x:row>
    <x:row r="18">
      <x:c r="A18" s="33"/>
      <x:c r="B18" s="40"/>
      <x:c r="C18" s="40"/>
      <x:c r="D18" s="41" t="n">
        <x:f>B18-C18</x:f>
        <x:v>0</x:v>
      </x:c>
      <x:c r="E18" s="41" t="n">
        <x:f>E17+D18</x:f>
        <x:v>0</x:v>
      </x:c>
      <x:c r="F18" s="128"/>
      <x:c r="G18" s="27"/>
    </x:row>
    <x:row r="19">
      <x:c r="A19" s="33"/>
      <x:c r="B19" s="40"/>
      <x:c r="C19" s="40"/>
      <x:c r="D19" s="41" t="n">
        <x:f>B19-C19</x:f>
        <x:v>0</x:v>
      </x:c>
      <x:c r="E19" s="41" t="n">
        <x:f>E18+D19</x:f>
        <x:v>0</x:v>
      </x:c>
      <x:c r="F19" s="128"/>
      <x:c r="G19" s="27"/>
    </x:row>
    <x:row r="20">
      <x:c r="A20" s="33"/>
      <x:c r="B20" s="40"/>
      <x:c r="C20" s="40"/>
      <x:c r="D20" s="41" t="n">
        <x:f>B20-C20</x:f>
        <x:v>0</x:v>
      </x:c>
      <x:c r="E20" s="41" t="n">
        <x:f>E19+D20</x:f>
        <x:v>0</x:v>
      </x:c>
      <x:c r="F20" s="128"/>
      <x:c r="G20" s="27"/>
    </x:row>
    <x:row r="21">
      <x:c r="A21" s="33"/>
      <x:c r="B21" s="40"/>
      <x:c r="C21" s="40"/>
      <x:c r="D21" s="41" t="n">
        <x:f>B21-C21</x:f>
        <x:v>0</x:v>
      </x:c>
      <x:c r="E21" s="41" t="n">
        <x:f>E20+D21</x:f>
        <x:v>0</x:v>
      </x:c>
      <x:c r="F21" s="128"/>
      <x:c r="G21" s="27"/>
    </x:row>
    <x:row r="22">
      <x:c r="A22" s="33"/>
      <x:c r="B22" s="40"/>
      <x:c r="C22" s="40"/>
      <x:c r="D22" s="41" t="n">
        <x:f>B22-C22</x:f>
        <x:v>0</x:v>
      </x:c>
      <x:c r="E22" s="41" t="n">
        <x:f>E21+D22</x:f>
        <x:v>0</x:v>
      </x:c>
      <x:c r="F22" s="128"/>
      <x:c r="G22" s="27"/>
    </x:row>
    <x:row r="23">
      <x:c r="A23" s="33"/>
      <x:c r="B23" s="40"/>
      <x:c r="C23" s="40"/>
      <x:c r="D23" s="41" t="n">
        <x:f>B23-C23</x:f>
        <x:v>0</x:v>
      </x:c>
      <x:c r="E23" s="41" t="n">
        <x:f>E22+D23</x:f>
        <x:v>0</x:v>
      </x:c>
      <x:c r="F23" s="128"/>
      <x:c r="G23" s="27"/>
    </x:row>
    <x:row r="24">
      <x:c r="A24" s="33"/>
      <x:c r="B24" s="40"/>
      <x:c r="C24" s="40"/>
      <x:c r="D24" s="41" t="n">
        <x:f>B24-C24</x:f>
        <x:v>0</x:v>
      </x:c>
      <x:c r="E24" s="41" t="n">
        <x:f>E23+D24</x:f>
        <x:v>0</x:v>
      </x:c>
      <x:c r="F24" s="128"/>
      <x:c r="G24" s="27"/>
    </x:row>
    <x:row r="25">
      <x:c r="A25" s="33"/>
      <x:c r="B25" s="40"/>
      <x:c r="C25" s="40"/>
      <x:c r="D25" s="41" t="n">
        <x:f>B25-C25</x:f>
        <x:v>0</x:v>
      </x:c>
      <x:c r="E25" s="41" t="n">
        <x:f>E24+D25</x:f>
        <x:v>0</x:v>
      </x:c>
      <x:c r="F25" s="128"/>
      <x:c r="G25" s="27"/>
    </x:row>
    <x:row r="26">
      <x:c r="A26" s="33"/>
      <x:c r="B26" s="40"/>
      <x:c r="C26" s="40"/>
      <x:c r="D26" s="41" t="n">
        <x:f>B26-C26</x:f>
        <x:v>0</x:v>
      </x:c>
      <x:c r="E26" s="41" t="n">
        <x:f>E25+D26</x:f>
        <x:v>0</x:v>
      </x:c>
      <x:c r="F26" s="128"/>
      <x:c r="G26" s="27"/>
    </x:row>
    <x:row r="27">
      <x:c r="A27" s="33"/>
      <x:c r="B27" s="40"/>
      <x:c r="C27" s="40"/>
      <x:c r="D27" s="41" t="n">
        <x:f>B27-C27</x:f>
        <x:v>0</x:v>
      </x:c>
      <x:c r="E27" s="41" t="n">
        <x:f>E26+D27</x:f>
        <x:v>0</x:v>
      </x:c>
      <x:c r="F27" s="128"/>
      <x:c r="G27" s="27"/>
    </x:row>
    <x:row r="28">
      <x:c r="A28" s="33"/>
      <x:c r="B28" s="40"/>
      <x:c r="C28" s="40"/>
      <x:c r="D28" s="41" t="n">
        <x:f>B28-C28</x:f>
        <x:v>0</x:v>
      </x:c>
      <x:c r="E28" s="41" t="n">
        <x:f>E27+D28</x:f>
        <x:v>0</x:v>
      </x:c>
      <x:c r="F28" s="128"/>
      <x:c r="G28" s="27"/>
    </x:row>
    <x:row r="29">
      <x:c r="A29" s="33"/>
      <x:c r="B29" s="40"/>
      <x:c r="C29" s="40"/>
      <x:c r="D29" s="41" t="n">
        <x:f>B29-C29</x:f>
        <x:v>0</x:v>
      </x:c>
      <x:c r="E29" s="41" t="n">
        <x:f>E28+D29</x:f>
        <x:v>0</x:v>
      </x:c>
      <x:c r="F29" s="128"/>
      <x:c r="G29" s="27"/>
    </x:row>
    <x:row r="30">
      <x:c r="A30" s="33"/>
      <x:c r="B30" s="40"/>
      <x:c r="C30" s="40"/>
      <x:c r="D30" s="41" t="n">
        <x:f>B30-C30</x:f>
        <x:v>0</x:v>
      </x:c>
      <x:c r="E30" s="41" t="n">
        <x:f>E29+D30</x:f>
        <x:v>0</x:v>
      </x:c>
      <x:c r="F30" s="128"/>
      <x:c r="G30" s="27"/>
    </x:row>
    <x:row r="31">
      <x:c r="A31" s="33"/>
      <x:c r="B31" s="40"/>
      <x:c r="C31" s="40"/>
      <x:c r="D31" s="41" t="n">
        <x:f>B31-C31</x:f>
        <x:v>0</x:v>
      </x:c>
      <x:c r="E31" s="41" t="n">
        <x:f>E30+D31</x:f>
        <x:v>0</x:v>
      </x:c>
      <x:c r="F31" s="128"/>
      <x:c r="G31" s="27"/>
    </x:row>
    <x:row r="32">
      <x:c r="A32" s="33"/>
      <x:c r="B32" s="40"/>
      <x:c r="C32" s="40"/>
      <x:c r="D32" s="41" t="n">
        <x:f>B32-C32</x:f>
        <x:v>0</x:v>
      </x:c>
      <x:c r="E32" s="41" t="n">
        <x:f>E31+D32</x:f>
        <x:v>0</x:v>
      </x:c>
      <x:c r="F32" s="128"/>
      <x:c r="G32" s="27"/>
    </x:row>
    <x:row r="33">
      <x:c r="A33" s="33"/>
      <x:c r="B33" s="40"/>
      <x:c r="C33" s="40"/>
      <x:c r="D33" s="41" t="n">
        <x:f>B33-C33</x:f>
        <x:v>0</x:v>
      </x:c>
      <x:c r="E33" s="41" t="n">
        <x:f>E32+D33</x:f>
        <x:v>0</x:v>
      </x:c>
      <x:c r="F33" s="128"/>
      <x:c r="G33" s="27"/>
    </x:row>
    <x:row r="34">
      <x:c r="A34" s="33"/>
      <x:c r="B34" s="40"/>
      <x:c r="C34" s="40"/>
      <x:c r="D34" s="41" t="n">
        <x:f>B34-C34</x:f>
        <x:v>0</x:v>
      </x:c>
      <x:c r="E34" s="41" t="n">
        <x:f>E33+D34</x:f>
        <x:v>0</x:v>
      </x:c>
      <x:c r="F34" s="128"/>
      <x:c r="G34" s="27"/>
    </x:row>
    <x:row r="35">
      <x:c r="A35" s="33"/>
      <x:c r="B35" s="40"/>
      <x:c r="C35" s="40"/>
      <x:c r="D35" s="41" t="n">
        <x:f>B35-C35</x:f>
        <x:v>0</x:v>
      </x:c>
      <x:c r="E35" s="41" t="n">
        <x:f>E34+D35</x:f>
        <x:v>0</x:v>
      </x:c>
      <x:c r="F35" s="128"/>
      <x:c r="G35" s="27"/>
    </x:row>
    <x:row r="36">
      <x:c r="A36" s="34"/>
      <x:c r="B36" s="42"/>
      <x:c r="C36" s="42"/>
      <x:c r="D36" s="43" t="n">
        <x:f>B36-C36</x:f>
        <x:v>0</x:v>
      </x:c>
      <x:c r="E36" s="43" t="n">
        <x:f>E35+D36</x:f>
        <x:v>0</x:v>
      </x:c>
      <x:c r="F36" s="129"/>
      <x:c r="G36" s="31"/>
    </x:row>
  </x:sheetData>
  <x:mergeCells>
    <x:mergeCell ref="A1:G1"/>
    <x:mergeCell ref="A3:G4"/>
  </x:mergeCells>
  <x:pageMargins left="0.7" right="0.7" top="0.75" bottom="0.75" header="0.3" footer="0.3"/>
  <x:drawing xmlns:r="http://schemas.openxmlformats.org/officeDocument/2006/relationships" r:id="Rd2c2c993b1f84d37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4" hidden="0" customWidth="1"/>
    <x:col min="3" max="3" width="45" hidden="0" customWidth="1"/>
    <x:col min="4" max="4" width="18" hidden="0" customWidth="1"/>
    <x:col min="5" max="5" width="48" hidden="0" customWidth="1"/>
    <x:col min="6" max="6" width="62" hidden="0" customWidth="1"/>
  </x:cols>
  <x:sheetData>
    <x:row r="1">
      <x:c r="A1" s="3" t="str">
        <x:v>SUSTENTO DE CÁLCULOS Y BIBLIOGRAFÍA</x:v>
      </x:c>
      <x:c r="B1" s="3"/>
      <x:c r="C1" s="3"/>
      <x:c r="D1" s="3"/>
      <x:c r="E1" s="3"/>
      <x:c r="F1" s="3"/>
    </x:row>
    <x:row r="3">
      <x:c r="A3" s="16" t="str">
        <x:v>Resultado</x:v>
      </x:c>
      <x:c r="B3" s="16" t="str">
        <x:v>Fórmula</x:v>
      </x:c>
      <x:c r="C3" s="16" t="str">
        <x:v>Significado</x:v>
      </x:c>
      <x:c r="D3" s="16" t="str">
        <x:v>Unidad</x:v>
      </x:c>
      <x:c r="E3" s="16" t="str">
        <x:v>Sustento</x:v>
      </x:c>
      <x:c r="F3" s="16" t="str">
        <x:v>Fuente oficial</x:v>
      </x:c>
    </x:row>
    <x:row r="4">
      <x:c r="A4" s="153" t="str">
        <x:v>Total de ingresos</x:v>
      </x:c>
      <x:c r="B4" s="154" t="str">
        <x:v>Suma de todos los volúmenes clasificados como ingreso</x:v>
      </x:c>
      <x:c r="C4" s="154" t="str">
        <x:v>Cantidad total administrada o ingerida en el período</x:v>
      </x:c>
      <x:c r="D4" s="154" t="str">
        <x:v>mL</x:v>
      </x:c>
      <x:c r="E4" s="154" t="str">
        <x:v>El registro debe incluir tipo y volumen de cada ingreso.</x:v>
      </x:c>
      <x:c r="F4" s="155" t="str">
        <x:v>https://www.nice.org.uk/guidance/cg174/chapter/recommendations</x:v>
      </x:c>
    </x:row>
    <x:row r="5">
      <x:c r="A5" s="156" t="str">
        <x:v>Total de egresos</x:v>
      </x:c>
      <x:c r="B5" s="157" t="str">
        <x:v>Suma de todos los volúmenes clasificados como egreso</x:v>
      </x:c>
      <x:c r="C5" s="157" t="str">
        <x:v>Cantidad total eliminada o medida en el período</x:v>
      </x:c>
      <x:c r="D5" s="157" t="str">
        <x:v>mL</x:v>
      </x:c>
      <x:c r="E5" s="157" t="str">
        <x:v>La monitorización incluye diuresis y otras pérdidas medibles.</x:v>
      </x:c>
      <x:c r="F5" s="158" t="str">
        <x:v>https://www.nice.org.uk/guidance/ng29/chapter/recommendations</x:v>
      </x:c>
    </x:row>
    <x:row r="6">
      <x:c r="A6" s="156" t="str">
        <x:v>Balance neto</x:v>
      </x:c>
      <x:c r="B6" s="157" t="str">
        <x:v>Total ingresos − Total egresos</x:v>
      </x:c>
      <x:c r="C6" s="157" t="str">
        <x:v>Positivo si ingresó más; negativo si egresó más</x:v>
      </x:c>
      <x:c r="D6" s="157" t="str">
        <x:v>mL</x:v>
      </x:c>
      <x:c r="E6" s="157" t="str">
        <x:v>Es una diferencia aritmética; requiere interpretación clínica y tendencia.</x:v>
      </x:c>
      <x:c r="F6" s="158" t="str">
        <x:v>https://www.nice.org.uk/guidance/cg174/resources/intravenous-fluid-therapy-in-adults-in-hospital-pdf-35109752233669</x:v>
      </x:c>
    </x:row>
    <x:row r="7">
      <x:c r="A7" s="156" t="str">
        <x:v>Diuresis horaria por peso</x:v>
      </x:c>
      <x:c r="B7" s="157" t="str">
        <x:v>Diuresis total ÷ peso (kg) ÷ horas observadas</x:v>
      </x:c>
      <x:c r="C7" s="157" t="str">
        <x:v>Normaliza la producción urinaria por peso y tiempo</x:v>
      </x:c>
      <x:c r="D7" s="157" t="str">
        <x:v>mL/kg/h</x:v>
      </x:c>
      <x:c r="E7" s="157" t="str">
        <x:v>NICE usa &lt;0.5 mL/kg/h como criterio de oliguria en riesgo de lesión renal aguda; no es diagnóstico aislado.</x:v>
      </x:c>
      <x:c r="F7" s="158" t="str">
        <x:v>https://www.nice.org.uk/guidance/ng148/chapter/Recommendations</x:v>
      </x:c>
    </x:row>
    <x:row r="8">
      <x:c r="A8" s="156" t="str">
        <x:v>BH acumulado</x:v>
      </x:c>
      <x:c r="B8" s="157" t="str">
        <x:v>Suma progresiva de balances diarios</x:v>
      </x:c>
      <x:c r="C8" s="157" t="str">
        <x:v>Balance neto consolidado desde el primer día registrado</x:v>
      </x:c>
      <x:c r="D8" s="157" t="str">
        <x:v>mL</x:v>
      </x:c>
      <x:c r="E8" s="157" t="str">
        <x:v>Permite seguir la tendencia durante la hospitalización; correlacionar con peso, examen y laboratorio.</x:v>
      </x:c>
      <x:c r="F8" s="158" t="str">
        <x:v>https://www.nice.org.uk/guidance/cg174/chapter/recommendations</x:v>
      </x:c>
    </x:row>
    <x:row r="9">
      <x:c r="A9" s="156"/>
      <x:c r="B9" s="157"/>
      <x:c r="C9" s="157"/>
      <x:c r="D9" s="157"/>
      <x:c r="E9" s="157"/>
      <x:c r="F9" s="158"/>
    </x:row>
    <x:row r="10">
      <x:c r="A10" s="159" t="str">
        <x:v>Bibliografía</x:v>
      </x:c>
      <x:c r="B10" s="160" t="str">
        <x:v>Institución</x:v>
      </x:c>
      <x:c r="C10" s="160" t="str">
        <x:v>Documento</x:v>
      </x:c>
      <x:c r="D10" s="160" t="str">
        <x:v>Alcance</x:v>
      </x:c>
      <x:c r="E10" s="160" t="str">
        <x:v>Consulta</x:v>
      </x:c>
      <x:c r="F10" s="161" t="str">
        <x:v>URL</x:v>
      </x:c>
    </x:row>
    <x:row r="11">
      <x:c r="A11" s="156" t="str">
        <x:v>1</x:v>
      </x:c>
      <x:c r="B11" s="157" t="str">
        <x:v>NICE</x:v>
      </x:c>
      <x:c r="C11" s="157" t="str">
        <x:v>CG174: Intravenous fluid therapy in adults in hospital</x:v>
      </x:c>
      <x:c r="D11" s="157" t="str">
        <x:v>Adultos hospitalizados; evaluación, prescripción y seguimiento.</x:v>
      </x:c>
      <x:c r="E11" s="157" t="str">
        <x:v>2026-08-14</x:v>
      </x:c>
      <x:c r="F11" s="158" t="str">
        <x:v>https://www.nice.org.uk/guidance/cg174</x:v>
      </x:c>
    </x:row>
    <x:row r="12">
      <x:c r="A12" s="156" t="str">
        <x:v>2</x:v>
      </x:c>
      <x:c r="B12" s="157" t="str">
        <x:v>NICE</x:v>
      </x:c>
      <x:c r="C12" s="157" t="str">
        <x:v>NG29: Intravenous fluid therapy in children and young people</x:v>
      </x:c>
      <x:c r="D12" s="157" t="str">
        <x:v>Registro horario de ingresos, egresos y totales acumulados.</x:v>
      </x:c>
      <x:c r="E12" s="157" t="str">
        <x:v>2026-08-14</x:v>
      </x:c>
      <x:c r="F12" s="158" t="str">
        <x:v>https://www.nice.org.uk/guidance/ng29/chapter/recommendations</x:v>
      </x:c>
    </x:row>
    <x:row r="13">
      <x:c r="A13" s="162" t="str">
        <x:v>3</x:v>
      </x:c>
      <x:c r="B13" s="163" t="str">
        <x:v>NICE</x:v>
      </x:c>
      <x:c r="C13" s="163" t="str">
        <x:v>NG148: Acute kidney injury</x:v>
      </x:c>
      <x:c r="D13" s="163" t="str">
        <x:v>Reconocimiento de oliguria y necesidad de respuesta clínica.</x:v>
      </x:c>
      <x:c r="E13" s="163" t="str">
        <x:v>2026-08-14</x:v>
      </x:c>
      <x:c r="F13" s="164" t="str">
        <x:v>https://www.nice.org.uk/guidance/ng148/chapter/Recommendations</x:v>
      </x:c>
    </x:row>
  </x:sheetData>
  <x:mergeCells>
    <x:mergeCell ref="A1:F1"/>
  </x:mergeCells>
  <x:pageMargins left="0.7" right="0.7" top="0.75" bottom="0.75" header="0.3" footer="0.3"/>
</x:worksheet>
</file>